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Flagged" sheetId="2" state="visible" r:id="rId4"/>
    <sheet name="Organisations" sheetId="3" state="visible" r:id="rId5"/>
    <sheet name="Cases" sheetId="4" state="visible" r:id="rId6"/>
  </sheets>
  <definedNames>
    <definedName function="false" hidden="true" localSheetId="3" name="_xlnm._FilterDatabase" vbProcedure="false">Cases!$A$1:$S$358</definedName>
    <definedName function="false" hidden="true" localSheetId="2" name="_xlnm._FilterDatabase" vbProcedure="false">Organisations!$A$4:$S$189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<sst xmlns="http://schemas.openxmlformats.org/spreadsheetml/2006/main" count="5919" uniqueCount="1254">
  <si>
    <t xml:space="preserve">GDPR fine calculator: turnover cross-check</t>
  </si>
  <si>
    <t xml:space="preserve">What this is</t>
  </si>
  <si>
    <t xml:space="preserve">The turnover figures behind the fine index, laid out so they can be checked one at a time. The index is the fine divided by turnover, so a wrong turnover moves the answer directly and in proportion. Fines, dates, countries and articles come from the public enforcement tracker and are not in question here. Turnover is not in that source and had to be attached separately, which is where the risk is.</t>
  </si>
  <si>
    <t xml:space="preserve">357 decisions carry a turnover. They cover 170 organisations and 185 distinct organisation-and-figure pairs, which is the unit of work here: settling Vodafone Espana once settles seventy cases.</t>
  </si>
  <si>
    <t xml:space="preserve">Where to start</t>
  </si>
  <si>
    <t xml:space="preserve">The Flagged sheet. 34 of the 185 pairs tripped an automated check and between them they set the index for 153 of the 357 cases. Those are worth an hour; the rest are worth a rainy afternoon.</t>
  </si>
  <si>
    <t xml:space="preserve">Then the Organisations sheet, which is the full worklist, flagged rows first and then in descending order of how many cases each figure decides. Cases has every row with its enforcement tracker link, for tracing anything back.</t>
  </si>
  <si>
    <t xml:space="preserve">What to fill in</t>
  </si>
  <si>
    <t xml:space="preserve">The shaded columns on Organisations: Checked turnover, Checked FY, Source URL, Verdict and Notes. Everything else is either from the dataset or a formula. New index and Change factor recalculate from what you type, so you can see straight away whether a correction matters: a change factor of 1.1 is noise, a change factor of 50 is a different answer.</t>
  </si>
  <si>
    <t xml:space="preserve">What confidence means</t>
  </si>
  <si>
    <t xml:space="preserve">It describes the turnover figure, never the fine.</t>
  </si>
  <si>
    <t xml:space="preserve">high, medium, low: a source was recorded, and the Source column names it. 100 cases.</t>
  </si>
  <si>
    <t xml:space="preserve">legacy: carried over from the original spreadsheet work with no source and usually no financial year recorded. 257 cases, which is 72% of the data. These are not necessarily wrong, but nothing supports them.</t>
  </si>
  <si>
    <t xml:space="preserve">What basis means</t>
  </si>
  <si>
    <t xml:space="preserve">standalone: the fined legal entity. group: the worldwide undertaking. eea_parent, national_parent: a parent company, used where the entity itself publishes nothing. legacy: unknown, not recorded at the time.</t>
  </si>
  <si>
    <t xml:space="preserve">One check that already passes</t>
  </si>
  <si>
    <t xml:space="preserve">No case exceeds its Art. 83 ceiling. Every fine is within the higher of the percentage and the flat floor for its tier, so no figure here is impossible on its face. That is a weak test, which is why the others exist.</t>
  </si>
  <si>
    <t xml:space="preserve">Source of this extract</t>
  </si>
  <si>
    <t xml:space="preserve">Claude outputs\fines_master_v3.csv, the 357 rows where has_turnover is TRUE. Fines from the GDPR enforcement tracker by way of the Power BI export of 20 September 2026.</t>
  </si>
  <si>
    <t xml:space="preserve">Pairs that tripped an automated check</t>
  </si>
  <si>
    <t xml:space="preserve">34 of 185 organisation-and-figure pairs, setting the index for 153 of the 357 cases. A flag is a reason to look, not a verdict: a small company really can be fined 6% of turnover.</t>
  </si>
  <si>
    <t xml:space="preserve">Organisation</t>
  </si>
  <si>
    <t xml:space="preserve">Country</t>
  </si>
  <si>
    <t xml:space="preserve">Cases</t>
  </si>
  <si>
    <t xml:space="preserve">Turnover used (EUR)</t>
  </si>
  <si>
    <t xml:space="preserve">Confidence</t>
  </si>
  <si>
    <t xml:space="preserve">What the check found</t>
  </si>
  <si>
    <t xml:space="preserve">Row on Organisations</t>
  </si>
  <si>
    <t xml:space="preserve">Vodafone España, S.A.U.</t>
  </si>
  <si>
    <t xml:space="preserve">Spain</t>
  </si>
  <si>
    <t xml:space="preserve">legacy</t>
  </si>
  <si>
    <t xml:space="preserve">No recorded source, and it sets the index for 63 cases.</t>
  </si>
  <si>
    <t xml:space="preserve">Xfera Moviles S.A.</t>
  </si>
  <si>
    <t xml:space="preserve">The same figure is used for 1 other organisation(s): azienda usl della romagna. No recorded source, and it sets the index for 17 cases.</t>
  </si>
  <si>
    <t xml:space="preserve">Vodafone España, SAU</t>
  </si>
  <si>
    <t xml:space="preserve">Greece, Spain</t>
  </si>
  <si>
    <t xml:space="preserve">medium</t>
  </si>
  <si>
    <t xml:space="preserve">The same figure is used for 7 other organisation(s): vodafone ireland, vodafone italia s p a, vodafone ono s a u, vodafone panafon a e e t, vodafone romania, vodafone romania s a, vodafone servicios s l u.</t>
  </si>
  <si>
    <t xml:space="preserve">Bank</t>
  </si>
  <si>
    <t xml:space="preserve">Austria, Belgium, Bulgaria, Croatia, Hungary</t>
  </si>
  <si>
    <t xml:space="preserve">The respondent is anonymised in the source, so this turnover cannot be attributed to a real organisation or checked against anything. 10 case(s) across Austria, Belgium, Bulgaria, Croatia, Hungary. No recorded source, and it sets the index for 10 cases.</t>
  </si>
  <si>
    <t xml:space="preserve">BANCO BILBAO VIZCAYA ARGENTARIA, S.A.</t>
  </si>
  <si>
    <t xml:space="preserve">No recorded source, and it sets the index for 6 cases.</t>
  </si>
  <si>
    <t xml:space="preserve">Banco Bilbao Vizcaya Argentaria S.A.</t>
  </si>
  <si>
    <t xml:space="preserve">Italy, Spain</t>
  </si>
  <si>
    <t xml:space="preserve">No recorded source, and it sets the index for 5 cases.</t>
  </si>
  <si>
    <t xml:space="preserve">CAIXABANK S.A.</t>
  </si>
  <si>
    <t xml:space="preserve">The same figure is used for 1 other organisation(s): spotify. No recorded source, and it sets the index for 5 cases.</t>
  </si>
  <si>
    <t xml:space="preserve">Vodafone Romania S.A.</t>
  </si>
  <si>
    <t xml:space="preserve">Romania</t>
  </si>
  <si>
    <t xml:space="preserve">The same figure is used for 7 other organisation(s): vodafone, vodafone ireland, vodafone italia s p a, vodafone ono s a u, vodafone panafon a e e t, vodafone romania, vodafone servicios s l u.</t>
  </si>
  <si>
    <t xml:space="preserve">VODAFONE ONO, S.A.U.</t>
  </si>
  <si>
    <t xml:space="preserve">The same figure is used for 7 other organisation(s): vodafone, vodafone ireland, vodafone italia s p a, vodafone panafon a e e t, vodafone romania, vodafone romania s a, vodafone servicios s l u.</t>
  </si>
  <si>
    <t xml:space="preserve">Alpha Bank Romania SA</t>
  </si>
  <si>
    <t xml:space="preserve">low</t>
  </si>
  <si>
    <t xml:space="preserve">The same figure is used for 2 other organisation(s): alfa bank s a, alpha bank.</t>
  </si>
  <si>
    <t xml:space="preserve">Azienda Usl della Romagna</t>
  </si>
  <si>
    <t xml:space="preserve">Italy</t>
  </si>
  <si>
    <t xml:space="preserve">The same figure is used for 1 other organisation(s): xfera moviles s a.</t>
  </si>
  <si>
    <t xml:space="preserve">Vodafone – PANAFON A.E.E.T.</t>
  </si>
  <si>
    <t xml:space="preserve">Greece</t>
  </si>
  <si>
    <t xml:space="preserve">The same figure is used for 7 other organisation(s): vodafone, vodafone ireland, vodafone italia s p a, vodafone ono s a u, vodafone romania, vodafone romania s a, vodafone servicios s l u.</t>
  </si>
  <si>
    <t xml:space="preserve">VODAFONE SERVICIOS, S.L.U.</t>
  </si>
  <si>
    <t xml:space="preserve">The same figure is used for 7 other organisation(s): vodafone, vodafone ireland, vodafone italia s p a, vodafone ono s a u, vodafone panafon a e e t, vodafone romania, vodafone romania s a.</t>
  </si>
  <si>
    <t xml:space="preserve">Megareduceri TV S.R.L.</t>
  </si>
  <si>
    <t xml:space="preserve">Largest fine is 6.1% of this turnover. Turnover under 200k. Check the unit.</t>
  </si>
  <si>
    <t xml:space="preserve">Uber Technologies Inc.</t>
  </si>
  <si>
    <t xml:space="preserve">The Netherlands</t>
  </si>
  <si>
    <t xml:space="preserve">Largest fine is 2.8% of this turnover.</t>
  </si>
  <si>
    <t xml:space="preserve">TikTok Technology Limited</t>
  </si>
  <si>
    <t xml:space="preserve">Ireland</t>
  </si>
  <si>
    <t xml:space="preserve">Largest fine is 2.5% of this turnover.</t>
  </si>
  <si>
    <t xml:space="preserve">LinkedIn</t>
  </si>
  <si>
    <t xml:space="preserve">Largest fine is 2.0% of this turnover.</t>
  </si>
  <si>
    <t xml:space="preserve">Spotify</t>
  </si>
  <si>
    <t xml:space="preserve">Sweden</t>
  </si>
  <si>
    <t xml:space="preserve">The same figure is used for 1 other organisation(s): caixabank s a.</t>
  </si>
  <si>
    <t xml:space="preserve">ALFA BANK S.A.</t>
  </si>
  <si>
    <t xml:space="preserve">The same figure is used for 2 other organisation(s): alpha bank, alpha bank romania.</t>
  </si>
  <si>
    <t xml:space="preserve">Alpha Bank</t>
  </si>
  <si>
    <t xml:space="preserve">The same figure is used for 2 other organisation(s): alfa bank s a, alpha bank romania.</t>
  </si>
  <si>
    <t xml:space="preserve">Vodafone Ireland Limited</t>
  </si>
  <si>
    <t xml:space="preserve">The same figure is used for 7 other organisation(s): vodafone, vodafone italia s p a, vodafone ono s a u, vodafone panafon a e e t, vodafone romania, vodafone romania s a, vodafone servicios s l u.</t>
  </si>
  <si>
    <t xml:space="preserve">Vodafone Italia S.p.A.</t>
  </si>
  <si>
    <t xml:space="preserve">The same figure is used for 7 other organisation(s): vodafone, vodafone ireland, vodafone ono s a u, vodafone panafon a e e t, vodafone romania, vodafone romania s a, vodafone servicios s l u.</t>
  </si>
  <si>
    <t xml:space="preserve">Vodafone Romania SA</t>
  </si>
  <si>
    <t xml:space="preserve">The same figure is used for 7 other organisation(s): vodafone, vodafone ireland, vodafone italia s p a, vodafone ono s a u, vodafone panafon a e e t, vodafone romania s a, vodafone servicios s l u.</t>
  </si>
  <si>
    <t xml:space="preserve">Grindr LLC</t>
  </si>
  <si>
    <t xml:space="preserve">Norway</t>
  </si>
  <si>
    <t xml:space="preserve">Largest fine is 6.8% of this turnover.</t>
  </si>
  <si>
    <t xml:space="preserve">Foodinho s.r.l.</t>
  </si>
  <si>
    <t xml:space="preserve">Largest fine is 3.8% of this turnover.</t>
  </si>
  <si>
    <t xml:space="preserve">Deliveroo Italy s.r.l.</t>
  </si>
  <si>
    <t xml:space="preserve">Largest fine is 7.4% of this turnover.</t>
  </si>
  <si>
    <t xml:space="preserve">Bureau Krediet Registration ('BKR')</t>
  </si>
  <si>
    <t xml:space="preserve">Largest fine is 3.3% of this turnover.</t>
  </si>
  <si>
    <t xml:space="preserve">Virgin Mobile Polska</t>
  </si>
  <si>
    <t xml:space="preserve">Poland</t>
  </si>
  <si>
    <t xml:space="preserve">Largest fine is 2.1% of this turnover.</t>
  </si>
  <si>
    <t xml:space="preserve">Payment service provider UAB MisterTango</t>
  </si>
  <si>
    <t xml:space="preserve">Lithuania</t>
  </si>
  <si>
    <t xml:space="preserve">The same figure is used for 1 other organisation(s): amazon road transport spain s l. Largest fine is 3.1% of this turnover.</t>
  </si>
  <si>
    <t xml:space="preserve">Amazon Road Transport Spain S.L.</t>
  </si>
  <si>
    <t xml:space="preserve">Turnover equals the fine exactly. The same figure is used for 1 other organisation(s): payment service provider uab mistertango. Largest fine is 100.0% of this turnover.</t>
  </si>
  <si>
    <t xml:space="preserve">Robinson Tours Ltd. (Robinson Tours Idegenforgalmi és Szolgáltató Kft.)</t>
  </si>
  <si>
    <t xml:space="preserve">Hungary</t>
  </si>
  <si>
    <t xml:space="preserve">Largest fine is 3.2% of this turnover.</t>
  </si>
  <si>
    <t xml:space="preserve">Alektum Oy</t>
  </si>
  <si>
    <t xml:space="preserve">Finland</t>
  </si>
  <si>
    <t xml:space="preserve">Largest fine is 61.8% of this turnover.</t>
  </si>
  <si>
    <t xml:space="preserve">LEGAL COMPANY &amp; TAX HUB SRL</t>
  </si>
  <si>
    <t xml:space="preserve">Largest fine is 2.6% of this turnover. Turnover under 200k. Check the unit.</t>
  </si>
  <si>
    <t xml:space="preserve">IDdesign A / S</t>
  </si>
  <si>
    <t xml:space="preserve">Denmark</t>
  </si>
  <si>
    <t xml:space="preserve">Largest fine is 25.3% of this turnover. Turnover under 200k. Check the unit.</t>
  </si>
  <si>
    <t xml:space="preserve">Turnover worklist</t>
  </si>
  <si>
    <t xml:space="preserve">One row per organisation and the turnover figure applied to it. Flagged rows first, then in descending order of how many cases the figure decides. Shaded columns are yours to fill in; blue figures come from the dataset; black are formulas. Row 5 is a worked example, delete it when you start.</t>
  </si>
  <si>
    <t xml:space="preserve">Organisation (as recorded)</t>
  </si>
  <si>
    <t xml:space="preserve">Total fines (EUR)</t>
  </si>
  <si>
    <t xml:space="preserve">Largest fine (EUR)</t>
  </si>
  <si>
    <t xml:space="preserve">FY</t>
  </si>
  <si>
    <t xml:space="preserve">Basis</t>
  </si>
  <si>
    <t xml:space="preserve">Source as recorded</t>
  </si>
  <si>
    <t xml:space="preserve">Index on largest fine</t>
  </si>
  <si>
    <t xml:space="preserve">Flags</t>
  </si>
  <si>
    <t xml:space="preserve">Checked turnover (EUR)</t>
  </si>
  <si>
    <t xml:space="preserve">Checked FY</t>
  </si>
  <si>
    <t xml:space="preserve">Source URL</t>
  </si>
  <si>
    <t xml:space="preserve">Verdict</t>
  </si>
  <si>
    <t xml:space="preserve">New index</t>
  </si>
  <si>
    <t xml:space="preserve">Change factor</t>
  </si>
  <si>
    <t xml:space="preserve">Notes</t>
  </si>
  <si>
    <t xml:space="preserve">2023</t>
  </si>
  <si>
    <t xml:space="preserve">standalone</t>
  </si>
  <si>
    <t xml:space="preserve">greek press</t>
  </si>
  <si>
    <t xml:space="preserve">national_parent</t>
  </si>
  <si>
    <t xml:space="preserve">alpha.gr</t>
  </si>
  <si>
    <t xml:space="preserve">2024</t>
  </si>
  <si>
    <t xml:space="preserve">termene.ro</t>
  </si>
  <si>
    <t xml:space="preserve">bkr.nl</t>
  </si>
  <si>
    <t xml:space="preserve">2021</t>
  </si>
  <si>
    <t xml:space="preserve">eea_parent</t>
  </si>
  <si>
    <t xml:space="preserve">asiakastieto.fi</t>
  </si>
  <si>
    <t xml:space="preserve">Iberdrola Clientes</t>
  </si>
  <si>
    <t xml:space="preserve">2018</t>
  </si>
  <si>
    <t xml:space="preserve">group</t>
  </si>
  <si>
    <t xml:space="preserve">CAIXABANK, S.A.</t>
  </si>
  <si>
    <t xml:space="preserve">GOOGLE LLC</t>
  </si>
  <si>
    <t xml:space="preserve">France, Spain</t>
  </si>
  <si>
    <t xml:space="preserve">Google Ireland Ltd.</t>
  </si>
  <si>
    <t xml:space="preserve">France, Hungary</t>
  </si>
  <si>
    <t xml:space="preserve">Piraeus Bank</t>
  </si>
  <si>
    <t xml:space="preserve">Piraeus FY2024</t>
  </si>
  <si>
    <t xml:space="preserve">Tusla Child and Family Agency</t>
  </si>
  <si>
    <t xml:space="preserve">Telekom Romania Communications SA</t>
  </si>
  <si>
    <t xml:space="preserve">Vodafone România SA</t>
  </si>
  <si>
    <t xml:space="preserve">CAIXABANK PAYMENTS &amp; CONSUMER EFC, EP, S.A.U.</t>
  </si>
  <si>
    <t xml:space="preserve">Enel Energie</t>
  </si>
  <si>
    <t xml:space="preserve">Eni Gas e Luce</t>
  </si>
  <si>
    <t xml:space="preserve">Santander Bank Polska S. A.</t>
  </si>
  <si>
    <t xml:space="preserve">santander.com</t>
  </si>
  <si>
    <t xml:space="preserve">WhatsApp Ireland Ltd.</t>
  </si>
  <si>
    <t xml:space="preserve">2020</t>
  </si>
  <si>
    <t xml:space="preserve">Meta Platforms group revenue; the DPC used group turnover</t>
  </si>
  <si>
    <t xml:space="preserve">Telefónica</t>
  </si>
  <si>
    <t xml:space="preserve">high</t>
  </si>
  <si>
    <t xml:space="preserve">Telefónica de España, S.A.U</t>
  </si>
  <si>
    <t xml:space="preserve">telefonica.com</t>
  </si>
  <si>
    <t xml:space="preserve">Scanshare S.r.l.</t>
  </si>
  <si>
    <t xml:space="preserve">Uber Technologies Inc.
Uber B.V.</t>
  </si>
  <si>
    <t xml:space="preserve">Banco Bilbao Vizcaya Argentaria SA</t>
  </si>
  <si>
    <t xml:space="preserve">TIM S.p.A.</t>
  </si>
  <si>
    <t xml:space="preserve">TikTok</t>
  </si>
  <si>
    <t xml:space="preserve">The Netherlands, United Kingdom</t>
  </si>
  <si>
    <t xml:space="preserve">UniCredit S.p.a.</t>
  </si>
  <si>
    <t xml:space="preserve">National Revenue Agency</t>
  </si>
  <si>
    <t xml:space="preserve">Bulgaria</t>
  </si>
  <si>
    <t xml:space="preserve">FREE MOBILE</t>
  </si>
  <si>
    <t xml:space="preserve">France</t>
  </si>
  <si>
    <t xml:space="preserve">pappers.fr / iliad</t>
  </si>
  <si>
    <t xml:space="preserve">Autostrade per l’Italia S.p.A.</t>
  </si>
  <si>
    <t xml:space="preserve">ASPI bilancio</t>
  </si>
  <si>
    <t xml:space="preserve">Sky Italia S.r.l.</t>
  </si>
  <si>
    <t xml:space="preserve">Piraeus Bank S.A.</t>
  </si>
  <si>
    <t xml:space="preserve">Austrian Post</t>
  </si>
  <si>
    <t xml:space="preserve">Austria</t>
  </si>
  <si>
    <t xml:space="preserve">EDP Comercializadora, S.A.U.</t>
  </si>
  <si>
    <t xml:space="preserve">UWV (Dutch employee insurance service provider)</t>
  </si>
  <si>
    <t xml:space="preserve">Banca Transilvania S.A.</t>
  </si>
  <si>
    <t xml:space="preserve">Banca Comercială Română SA</t>
  </si>
  <si>
    <t xml:space="preserve">Fastweb S.p.A.</t>
  </si>
  <si>
    <t xml:space="preserve">Raiffeisen Bank SA</t>
  </si>
  <si>
    <t xml:space="preserve">20 MINUTOS EDITORA, S.L.</t>
  </si>
  <si>
    <t xml:space="preserve">press citing Henneo</t>
  </si>
  <si>
    <t xml:space="preserve">Libra Internet Bank SA</t>
  </si>
  <si>
    <t xml:space="preserve">librabank.ro AR2023</t>
  </si>
  <si>
    <t xml:space="preserve">LEADDESK, S.L</t>
  </si>
  <si>
    <t xml:space="preserve">inderes.fi</t>
  </si>
  <si>
    <t xml:space="preserve">ÉLECTRICITÉ DE FRANCE</t>
  </si>
  <si>
    <t xml:space="preserve">edf.fr</t>
  </si>
  <si>
    <t xml:space="preserve">REWE International AG</t>
  </si>
  <si>
    <t xml:space="preserve">Carrefour France</t>
  </si>
  <si>
    <t xml:space="preserve">Enel Energia S.p.A.</t>
  </si>
  <si>
    <t xml:space="preserve">Facebook Germany GmbH</t>
  </si>
  <si>
    <t xml:space="preserve">Germany</t>
  </si>
  <si>
    <t xml:space="preserve">pilot</t>
  </si>
  <si>
    <t xml:space="preserve">Monsanto Company</t>
  </si>
  <si>
    <t xml:space="preserve">TELEFÓNICA DE ESPAÑA SAU</t>
  </si>
  <si>
    <t xml:space="preserve">TELEFÓNICA MÓVILES ESPAÑA, S.A.</t>
  </si>
  <si>
    <t xml:space="preserve">Facebook Ireland Ltd.</t>
  </si>
  <si>
    <t xml:space="preserve">CA Autobank S.p.A.</t>
  </si>
  <si>
    <t xml:space="preserve">AMAZON FRANCE LOGISTIQUE</t>
  </si>
  <si>
    <t xml:space="preserve">Iberia Lae SA Operadora Unipersonal</t>
  </si>
  <si>
    <t xml:space="preserve">iairgroup.com</t>
  </si>
  <si>
    <t xml:space="preserve">Mercadona S.A.</t>
  </si>
  <si>
    <t xml:space="preserve">Netflix International B.V.</t>
  </si>
  <si>
    <t xml:space="preserve">TikTok Limited</t>
  </si>
  <si>
    <t xml:space="preserve">Sopockie Towarzystwo Ubezpieczeń ERGO Hestia S.A.</t>
  </si>
  <si>
    <t xml:space="preserve">ergo.com / SFCR</t>
  </si>
  <si>
    <t xml:space="preserve">TIM (telecommunications operator)</t>
  </si>
  <si>
    <t xml:space="preserve">Vattenfall Europe Sales GmbH</t>
  </si>
  <si>
    <t xml:space="preserve">EDP Energía, S.A.U</t>
  </si>
  <si>
    <t xml:space="preserve">Booking.com B.V.</t>
  </si>
  <si>
    <t xml:space="preserve">2019</t>
  </si>
  <si>
    <t xml:space="preserve">H&amp;M Hennes &amp; Mauritz Online Shop A.B. &amp; Co. KG</t>
  </si>
  <si>
    <t xml:space="preserve">Enea S.A.</t>
  </si>
  <si>
    <t xml:space="preserve">biznesradar</t>
  </si>
  <si>
    <t xml:space="preserve">GROUPE CANAL +</t>
  </si>
  <si>
    <t xml:space="preserve">vivendi.com</t>
  </si>
  <si>
    <t xml:space="preserve">Axpo Italia Spa</t>
  </si>
  <si>
    <t xml:space="preserve">Delivery Hero</t>
  </si>
  <si>
    <t xml:space="preserve">Delivery Hero AR2023</t>
  </si>
  <si>
    <t xml:space="preserve">Glovoapp23</t>
  </si>
  <si>
    <t xml:space="preserve">FREE SAS</t>
  </si>
  <si>
    <t xml:space="preserve">FREE</t>
  </si>
  <si>
    <t xml:space="preserve">Marriott International, Inc</t>
  </si>
  <si>
    <t xml:space="preserve">United Kingdom</t>
  </si>
  <si>
    <t xml:space="preserve">Proximus SA</t>
  </si>
  <si>
    <t xml:space="preserve">Belgium</t>
  </si>
  <si>
    <t xml:space="preserve">proximus.com</t>
  </si>
  <si>
    <t xml:space="preserve">Link4 Towarzystwo Ubezpieczeń S. A.</t>
  </si>
  <si>
    <t xml:space="preserve">pzu.pl</t>
  </si>
  <si>
    <t xml:space="preserve">ACCOR SA</t>
  </si>
  <si>
    <t xml:space="preserve">press.accor.com</t>
  </si>
  <si>
    <t xml:space="preserve">Wind Tre S.p.A.</t>
  </si>
  <si>
    <t xml:space="preserve">Aegean Marine Petroleum Network Inc.</t>
  </si>
  <si>
    <t xml:space="preserve">British Airways</t>
  </si>
  <si>
    <t xml:space="preserve">Autostrade per l'Italia spa</t>
  </si>
  <si>
    <t xml:space="preserve">Iren Mercato S.p.A.</t>
  </si>
  <si>
    <t xml:space="preserve">Telecoms provider (1&amp;1 Telecom GmbH)</t>
  </si>
  <si>
    <t xml:space="preserve">OTE Group</t>
  </si>
  <si>
    <t xml:space="preserve">Region of Syddanmark</t>
  </si>
  <si>
    <t xml:space="preserve">Tinmar Energy SA</t>
  </si>
  <si>
    <t xml:space="preserve">Twitter International Company</t>
  </si>
  <si>
    <t xml:space="preserve">SECURITAS DIREC ESPAÑA, S.A.</t>
  </si>
  <si>
    <t xml:space="preserve">verisure.com</t>
  </si>
  <si>
    <t xml:space="preserve">Cosmote Mobile Telecommunications S.A.</t>
  </si>
  <si>
    <t xml:space="preserve">NOVA TELECOMMUNICATIONS &amp; MEDIA ΜΟΝΟΠΡΟΣΩΠΗ 
Α.Ε.,</t>
  </si>
  <si>
    <t xml:space="preserve">seenews</t>
  </si>
  <si>
    <t xml:space="preserve">EUROBANK ERGASIAS S.A.</t>
  </si>
  <si>
    <t xml:space="preserve">eurobank.gr</t>
  </si>
  <si>
    <t xml:space="preserve">Telenor Norge AS</t>
  </si>
  <si>
    <t xml:space="preserve">Deutsche Kreditbank</t>
  </si>
  <si>
    <t xml:space="preserve">DKB Geschaeftsbericht 2023</t>
  </si>
  <si>
    <t xml:space="preserve">DPG Media Magazines B.V.</t>
  </si>
  <si>
    <t xml:space="preserve">press citing DPG annual report</t>
  </si>
  <si>
    <t xml:space="preserve">Posti Group Oyj</t>
  </si>
  <si>
    <t xml:space="preserve">posti.com</t>
  </si>
  <si>
    <t xml:space="preserve">Klarna Bank AB</t>
  </si>
  <si>
    <t xml:space="preserve">notebooksbilliger.de</t>
  </si>
  <si>
    <t xml:space="preserve">Telekom Romania</t>
  </si>
  <si>
    <t xml:space="preserve">Telekom Romania Mobile Communications S.A.</t>
  </si>
  <si>
    <t xml:space="preserve">Telekom Romania Mobile Communications SA</t>
  </si>
  <si>
    <t xml:space="preserve">Banca Transilvania SA</t>
  </si>
  <si>
    <t xml:space="preserve">Vodafone Romania</t>
  </si>
  <si>
    <t xml:space="preserve">Slovak Telekom</t>
  </si>
  <si>
    <t xml:space="preserve">Slovakia</t>
  </si>
  <si>
    <t xml:space="preserve">Allgemeine Ortskrankenkasse ("AOK") (health insurance company)</t>
  </si>
  <si>
    <t xml:space="preserve">DSK Bank</t>
  </si>
  <si>
    <t xml:space="preserve">Sats ASA</t>
  </si>
  <si>
    <t xml:space="preserve">stockanalysis</t>
  </si>
  <si>
    <t xml:space="preserve">Capio St. Göran AB</t>
  </si>
  <si>
    <t xml:space="preserve">Vreau Credit SRL</t>
  </si>
  <si>
    <t xml:space="preserve">SC Cntar Tarom SA</t>
  </si>
  <si>
    <t xml:space="preserve">S CNTAR TAROM SA (Airline)</t>
  </si>
  <si>
    <t xml:space="preserve">Hellenic Bank</t>
  </si>
  <si>
    <t xml:space="preserve">Cyprus</t>
  </si>
  <si>
    <t xml:space="preserve">Otavamedia Oy</t>
  </si>
  <si>
    <t xml:space="preserve">Madrileña Red de Gas</t>
  </si>
  <si>
    <t xml:space="preserve">SGAM AG2R LA MONDIALE</t>
  </si>
  <si>
    <t xml:space="preserve">Suomen Asiakastieto Oy</t>
  </si>
  <si>
    <t xml:space="preserve">2022</t>
  </si>
  <si>
    <t xml:space="preserve">FAN Courier Express SRL</t>
  </si>
  <si>
    <t xml:space="preserve">Digi Távközlési Szolgáltató Kft. ("Digi") (electronic communication service provider)</t>
  </si>
  <si>
    <t xml:space="preserve">Global Business Travel Spain SLU</t>
  </si>
  <si>
    <t xml:space="preserve">ID Finance Poland Sp. z o.o.</t>
  </si>
  <si>
    <t xml:space="preserve">Ticketmaster UK Limited</t>
  </si>
  <si>
    <t xml:space="preserve">S.C. Medicover S.R.L.</t>
  </si>
  <si>
    <t xml:space="preserve">Morele.net</t>
  </si>
  <si>
    <t xml:space="preserve">World Class România S.A.</t>
  </si>
  <si>
    <t xml:space="preserve">Google Belgium SA</t>
  </si>
  <si>
    <t xml:space="preserve">2025</t>
  </si>
  <si>
    <t xml:space="preserve">companyweb.be</t>
  </si>
  <si>
    <t xml:space="preserve">OTP LEASING ROMANIA IFN SA</t>
  </si>
  <si>
    <t xml:space="preserve">Casa Rusu S.R.L.</t>
  </si>
  <si>
    <t xml:space="preserve">Sambla Group Oy</t>
  </si>
  <si>
    <t xml:space="preserve">Arp Hansen Hotel Group A/S</t>
  </si>
  <si>
    <t xml:space="preserve">Air Europa Lineas Aereas, SA.</t>
  </si>
  <si>
    <t xml:space="preserve">Corporación radiotelevisión espanola</t>
  </si>
  <si>
    <t xml:space="preserve">Informatica Alto Adige Spa</t>
  </si>
  <si>
    <t xml:space="preserve">Proleasing Motors SRL</t>
  </si>
  <si>
    <t xml:space="preserve">Unser Ö-Bonus Club GmbH</t>
  </si>
  <si>
    <t xml:space="preserve">Futura Internationale</t>
  </si>
  <si>
    <t xml:space="preserve">2017</t>
  </si>
  <si>
    <t xml:space="preserve">pappers.fr</t>
  </si>
  <si>
    <t xml:space="preserve">BRICO PRIVÉ</t>
  </si>
  <si>
    <t xml:space="preserve">SERGIC (Real Estate)</t>
  </si>
  <si>
    <t xml:space="preserve">ParkkiPate Oy</t>
  </si>
  <si>
    <t xml:space="preserve">Hamburger Verkehrsverbund GmbH (HVV GmbH)</t>
  </si>
  <si>
    <t xml:space="preserve">hvv.de Jahresabschluss</t>
  </si>
  <si>
    <t xml:space="preserve">Black Tiger Belgium</t>
  </si>
  <si>
    <t xml:space="preserve">NBB filed accounts</t>
  </si>
  <si>
    <t xml:space="preserve">ACTIVE ASSURANCES (car insurer)</t>
  </si>
  <si>
    <t xml:space="preserve">Taxa 4x35</t>
  </si>
  <si>
    <t xml:space="preserve">Qualitance QBS SA</t>
  </si>
  <si>
    <t xml:space="preserve">Gaypa s.r.l.</t>
  </si>
  <si>
    <t xml:space="preserve">Credit brokerage</t>
  </si>
  <si>
    <t xml:space="preserve">Czech Republic</t>
  </si>
  <si>
    <t xml:space="preserve">Miropass S.r.l.</t>
  </si>
  <si>
    <t xml:space="preserve">Curtea Veche Publishing SRL</t>
  </si>
  <si>
    <t xml:space="preserve">Knuddels.de</t>
  </si>
  <si>
    <t xml:space="preserve">KFC RESTAURANTS SPAIN, S.L.</t>
  </si>
  <si>
    <t xml:space="preserve">empresia.es</t>
  </si>
  <si>
    <t xml:space="preserve">ISWEB S.p.A.</t>
  </si>
  <si>
    <t xml:space="preserve">reportaziende.it</t>
  </si>
  <si>
    <t xml:space="preserve">Nestor SAS</t>
  </si>
  <si>
    <t xml:space="preserve">2016</t>
  </si>
  <si>
    <t xml:space="preserve">Example of a filled row</t>
  </si>
  <si>
    <t xml:space="preserve">https://www.vodafone.es/c/conocenos/es/vodafone-espana/quienes-somos/informes-anuales/</t>
  </si>
  <si>
    <t xml:space="preserve">OK</t>
  </si>
  <si>
    <t xml:space="preserve">Matches the annual report for the year of the decision.</t>
  </si>
  <si>
    <t xml:space="preserve">ET id</t>
  </si>
  <si>
    <t xml:space="preserve">Year</t>
  </si>
  <si>
    <t xml:space="preserve">Fine (EUR)</t>
  </si>
  <si>
    <t xml:space="preserve">Turnover (EUR)</t>
  </si>
  <si>
    <t xml:space="preserve">Index</t>
  </si>
  <si>
    <t xml:space="preserve">Sector</t>
  </si>
  <si>
    <t xml:space="preserve">Articles</t>
  </si>
  <si>
    <t xml:space="preserve">Tier</t>
  </si>
  <si>
    <t xml:space="preserve">Violation type</t>
  </si>
  <si>
    <t xml:space="preserve">Authority</t>
  </si>
  <si>
    <t xml:space="preserve">Turnover FY</t>
  </si>
  <si>
    <t xml:space="preserve">Origin</t>
  </si>
  <si>
    <t xml:space="preserve">ePrivacy</t>
  </si>
  <si>
    <t xml:space="preserve">Case link</t>
  </si>
  <si>
    <t xml:space="preserve">ETid-1073</t>
  </si>
  <si>
    <t xml:space="preserve">Transportation and Energy</t>
  </si>
  <si>
    <t xml:space="preserve">Art. 6, Art. 10</t>
  </si>
  <si>
    <t xml:space="preserve">4%</t>
  </si>
  <si>
    <t xml:space="preserve">Insufficient legal basis for data processing</t>
  </si>
  <si>
    <t xml:space="preserve">Spanish Data Protection Authority (aepd)</t>
  </si>
  <si>
    <t xml:space="preserve">carried-by-etid</t>
  </si>
  <si>
    <t xml:space="preserve">https://www.enforcementtracker.com/ETid-1073</t>
  </si>
  <si>
    <t xml:space="preserve">ETid-1565</t>
  </si>
  <si>
    <t xml:space="preserve">Finance, Insurance and Consulting</t>
  </si>
  <si>
    <t xml:space="preserve">Art. 12, Art. 15</t>
  </si>
  <si>
    <t xml:space="preserve">Insufficient fulfilment of data subjects rights</t>
  </si>
  <si>
    <t xml:space="preserve">Deputy Data Protection Ombudsman</t>
  </si>
  <si>
    <t xml:space="preserve">https://www.enforcementtracker.com/ETid-1565</t>
  </si>
  <si>
    <t xml:space="preserve">ETid-22</t>
  </si>
  <si>
    <t xml:space="preserve">Industry and Commerce</t>
  </si>
  <si>
    <t xml:space="preserve">Art. 5</t>
  </si>
  <si>
    <t xml:space="preserve">Non-compliance with general data processing principles</t>
  </si>
  <si>
    <t xml:space="preserve">Danish Data Protection Authority (Datatilsynet)</t>
  </si>
  <si>
    <t xml:space="preserve">https://www.enforcementtracker.com/ETid-22</t>
  </si>
  <si>
    <t xml:space="preserve">ETid-790</t>
  </si>
  <si>
    <t xml:space="preserve">Art. 5, Art. 13, Art. 22, Art. 25, Art. 30, Art. 32, Art. 35, Art. 37</t>
  </si>
  <si>
    <t xml:space="preserve">Italian Data Protection Authority (Garante)</t>
  </si>
  <si>
    <t xml:space="preserve">https://www.enforcementtracker.com/ETid-790</t>
  </si>
  <si>
    <t xml:space="preserve">ETid-950</t>
  </si>
  <si>
    <t xml:space="preserve">Media, Telecoms and Broadcasting</t>
  </si>
  <si>
    <t xml:space="preserve">Art. 6, Art. 9</t>
  </si>
  <si>
    <t xml:space="preserve">Norwegian Supervisory Authority (Datatilsynet)</t>
  </si>
  <si>
    <t xml:space="preserve">https://www.enforcementtracker.com/ETid-950</t>
  </si>
  <si>
    <t xml:space="preserve">ETid-1145</t>
  </si>
  <si>
    <t xml:space="preserve">Art. 58</t>
  </si>
  <si>
    <t xml:space="preserve">2%</t>
  </si>
  <si>
    <t xml:space="preserve">Insufficient cooperation with supervisory authority</t>
  </si>
  <si>
    <t xml:space="preserve">Romanian National Supervisory Authority for Personal Data Processing (ANSPDCP)</t>
  </si>
  <si>
    <t xml:space="preserve">https://www.enforcementtracker.com/ETid-1145</t>
  </si>
  <si>
    <t xml:space="preserve">ETid-412</t>
  </si>
  <si>
    <t xml:space="preserve">Art. 31, Art. 58</t>
  </si>
  <si>
    <t xml:space="preserve">https://www.enforcementtracker.com/ETid-412</t>
  </si>
  <si>
    <t xml:space="preserve">ETid-743</t>
  </si>
  <si>
    <t xml:space="preserve">https://www.enforcementtracker.com/ETid-743</t>
  </si>
  <si>
    <t xml:space="preserve">ETid-334</t>
  </si>
  <si>
    <t xml:space="preserve">Dutch Supervisory Authority for Data Protection (AP)</t>
  </si>
  <si>
    <t xml:space="preserve">https://www.enforcementtracker.com/ETid-334</t>
  </si>
  <si>
    <t xml:space="preserve">ETid-494</t>
  </si>
  <si>
    <t xml:space="preserve">Art. 25, Art. 32, Art. 34</t>
  </si>
  <si>
    <t xml:space="preserve">Insufficient technical and organisational measures to ensure information security</t>
  </si>
  <si>
    <t xml:space="preserve">Hungarian National Authority for Data Protection and the Freedom of Information (NAIH)</t>
  </si>
  <si>
    <t xml:space="preserve">https://www.enforcementtracker.com/ETid-494</t>
  </si>
  <si>
    <t xml:space="preserve">ETid-40</t>
  </si>
  <si>
    <t xml:space="preserve">Art. 5, Art. 32, Art. 33</t>
  </si>
  <si>
    <t xml:space="preserve">Insufficient fulfilment of data breach notification obligations</t>
  </si>
  <si>
    <t xml:space="preserve">Lithuanian Data Protection Authority (VDAI)</t>
  </si>
  <si>
    <t xml:space="preserve">https://www.enforcementtracker.com/ETid-40</t>
  </si>
  <si>
    <t xml:space="preserve">ETid-3232</t>
  </si>
  <si>
    <t xml:space="preserve">2026</t>
  </si>
  <si>
    <t xml:space="preserve">Art. 22, Art. 13, Art. 14</t>
  </si>
  <si>
    <t xml:space="preserve">live-tracker-2026-09</t>
  </si>
  <si>
    <t xml:space="preserve">https://www.enforcementtracker.com/ETid-3232</t>
  </si>
  <si>
    <t xml:space="preserve">ETid-62</t>
  </si>
  <si>
    <t xml:space="preserve">Art. 32</t>
  </si>
  <si>
    <t xml:space="preserve">https://www.enforcementtracker.com/ETid-62</t>
  </si>
  <si>
    <t xml:space="preserve">ETid-2584</t>
  </si>
  <si>
    <t xml:space="preserve">Art. 13, Art. 46</t>
  </si>
  <si>
    <t xml:space="preserve">Data Protection Authority of Ireland</t>
  </si>
  <si>
    <t xml:space="preserve">https://www.enforcementtracker.com/ETid-2584</t>
  </si>
  <si>
    <t xml:space="preserve">ETid-483</t>
  </si>
  <si>
    <t xml:space="preserve">Art. 5, Art. 25, Art. 32</t>
  </si>
  <si>
    <t xml:space="preserve">Polish National Personal Data Protection Office (UODO)</t>
  </si>
  <si>
    <t xml:space="preserve">https://www.enforcementtracker.com/ETid-483</t>
  </si>
  <si>
    <t xml:space="preserve">ETid-2469</t>
  </si>
  <si>
    <t xml:space="preserve">Art. 5, Art. 6, Art. 13, Art. 14</t>
  </si>
  <si>
    <t xml:space="preserve">https://www.enforcementtracker.com/ETid-2469</t>
  </si>
  <si>
    <t xml:space="preserve">ETid-734</t>
  </si>
  <si>
    <t xml:space="preserve">Art. 5, Art. 13, Art. 17, Art. 32</t>
  </si>
  <si>
    <t xml:space="preserve">French Data Protection Authority (CNIL)</t>
  </si>
  <si>
    <t xml:space="preserve">https://www.enforcementtracker.com/ETid-734</t>
  </si>
  <si>
    <t xml:space="preserve">ETid-1160</t>
  </si>
  <si>
    <t xml:space="preserve">Art. 28</t>
  </si>
  <si>
    <t xml:space="preserve">Insufficient data processing agreement</t>
  </si>
  <si>
    <t xml:space="preserve">https://www.enforcementtracker.com/ETid-1160</t>
  </si>
  <si>
    <t xml:space="preserve">ETid-118</t>
  </si>
  <si>
    <t xml:space="preserve">Art. 5, Art. 6, Art. 13, Art. 14, Art. 21, Art. 31, Art. 44</t>
  </si>
  <si>
    <t xml:space="preserve">https://www.enforcementtracker.com/ETid-118</t>
  </si>
  <si>
    <t xml:space="preserve">ETid-64</t>
  </si>
  <si>
    <t xml:space="preserve">https://www.enforcementtracker.com/ETid-64</t>
  </si>
  <si>
    <t xml:space="preserve">ETid-24</t>
  </si>
  <si>
    <t xml:space="preserve">Real Estate</t>
  </si>
  <si>
    <t xml:space="preserve">https://www.enforcementtracker.com/ETid-24</t>
  </si>
  <si>
    <t xml:space="preserve">ETid-511</t>
  </si>
  <si>
    <t xml:space="preserve">Art. 12, Art. 13</t>
  </si>
  <si>
    <t xml:space="preserve">Insufficient fulfilment of information obligations</t>
  </si>
  <si>
    <t xml:space="preserve">https://www.enforcementtracker.com/ETid-511</t>
  </si>
  <si>
    <t xml:space="preserve">ETid-2032</t>
  </si>
  <si>
    <t xml:space="preserve">Art. 5, Art. 12, Art. 13, Art. 24, Art. 25</t>
  </si>
  <si>
    <t xml:space="preserve">https://www.enforcementtracker.com/ETid-2032</t>
  </si>
  <si>
    <t xml:space="preserve">ETid-21</t>
  </si>
  <si>
    <t xml:space="preserve">DENMARK</t>
  </si>
  <si>
    <t xml:space="preserve">tracker-analysis</t>
  </si>
  <si>
    <t xml:space="preserve">https://www.enforcementtracker.com/ETid-21</t>
  </si>
  <si>
    <t xml:space="preserve">ETid-2225</t>
  </si>
  <si>
    <t xml:space="preserve">Art. 5, Art. 6, Art. 12, Art. 14, Art. 15, Art. 24, Art. 25, Art. 30</t>
  </si>
  <si>
    <t xml:space="preserve">Belgian Data Protection Authority (APD)</t>
  </si>
  <si>
    <t xml:space="preserve">https://www.enforcementtracker.com/ETid-2225</t>
  </si>
  <si>
    <t xml:space="preserve">ETid-792</t>
  </si>
  <si>
    <t xml:space="preserve">Art. 6, Art. 7, Art. 12</t>
  </si>
  <si>
    <t xml:space="preserve">Austrian Data Protection Authority (dsb)</t>
  </si>
  <si>
    <t xml:space="preserve">https://www.enforcementtracker.com/ETid-792</t>
  </si>
  <si>
    <t xml:space="preserve">ETid-2506</t>
  </si>
  <si>
    <t xml:space="preserve">https://www.enforcementtracker.com/ETid-2506</t>
  </si>
  <si>
    <t xml:space="preserve">ETid-609</t>
  </si>
  <si>
    <t xml:space="preserve">Art. 32, Art. 33</t>
  </si>
  <si>
    <t xml:space="preserve">https://www.enforcementtracker.com/ETid-609</t>
  </si>
  <si>
    <t xml:space="preserve">ETid-440</t>
  </si>
  <si>
    <t xml:space="preserve">Art. 5, Art. 32</t>
  </si>
  <si>
    <t xml:space="preserve">Information Commissioner (ICO)</t>
  </si>
  <si>
    <t xml:space="preserve">https://www.enforcementtracker.com/ETid-440</t>
  </si>
  <si>
    <t xml:space="preserve">ETid-1785</t>
  </si>
  <si>
    <t xml:space="preserve">Art. 13, Art. 37</t>
  </si>
  <si>
    <t xml:space="preserve">Insufficient involvement of data protection officer</t>
  </si>
  <si>
    <t xml:space="preserve">https://www.enforcementtracker.com/ETid-1785</t>
  </si>
  <si>
    <t xml:space="preserve">ETid-771</t>
  </si>
  <si>
    <t xml:space="preserve">Art. 5, Art. 13, Art. 14</t>
  </si>
  <si>
    <t xml:space="preserve">https://www.enforcementtracker.com/ETid-771</t>
  </si>
  <si>
    <t xml:space="preserve">ETid-2447</t>
  </si>
  <si>
    <t xml:space="preserve">Uber Technologies Inc., Uber B.V.</t>
  </si>
  <si>
    <t xml:space="preserve">Employment</t>
  </si>
  <si>
    <t xml:space="preserve">Art. 44</t>
  </si>
  <si>
    <t xml:space="preserve">https://www.enforcementtracker.com/ETid-2447</t>
  </si>
  <si>
    <t xml:space="preserve">ETid-532</t>
  </si>
  <si>
    <t xml:space="preserve">Art. 5, Art. 6, Art. 9, Art. 28</t>
  </si>
  <si>
    <t xml:space="preserve">https://www.enforcementtracker.com/ETid-532</t>
  </si>
  <si>
    <t xml:space="preserve">ETid-473</t>
  </si>
  <si>
    <t xml:space="preserve">Health Care</t>
  </si>
  <si>
    <t xml:space="preserve">Data Protection Authority of Sweden (Integritetsskyddsmyndigheten)</t>
  </si>
  <si>
    <t xml:space="preserve">https://www.enforcementtracker.com/ETid-473</t>
  </si>
  <si>
    <t xml:space="preserve">ETid-620</t>
  </si>
  <si>
    <t xml:space="preserve">Art. 5, Art. 6, Art. 7, Art. 12, Art. 13, Art. 21, Art. 24, Art. 25, Art. 32, Art. 33, Art. 34</t>
  </si>
  <si>
    <t xml:space="preserve">https://www.enforcementtracker.com/ETid-620</t>
  </si>
  <si>
    <t xml:space="preserve">ETid-96</t>
  </si>
  <si>
    <t xml:space="preserve">Art. 5, Art. 6</t>
  </si>
  <si>
    <t xml:space="preserve">https://www.enforcementtracker.com/ETid-96</t>
  </si>
  <si>
    <t xml:space="preserve">ETid-344</t>
  </si>
  <si>
    <t xml:space="preserve">Art. 5, Art. 6, Art. 17, Art. 12</t>
  </si>
  <si>
    <t xml:space="preserve">https://www.enforcementtracker.com/ETid-344</t>
  </si>
  <si>
    <t xml:space="preserve">ETid-25</t>
  </si>
  <si>
    <t xml:space="preserve">Data Protection Authority of Baden-Wuerttemberg</t>
  </si>
  <si>
    <t xml:space="preserve">https://www.enforcementtracker.com/ETid-25</t>
  </si>
  <si>
    <t xml:space="preserve">ETid-79</t>
  </si>
  <si>
    <t xml:space="preserve">https://www.enforcementtracker.com/ETid-79</t>
  </si>
  <si>
    <t xml:space="preserve">ETid-665</t>
  </si>
  <si>
    <t xml:space="preserve">Art. 5, Art. 12, Art. 14, Art. 15, Art. 17, Art. 25</t>
  </si>
  <si>
    <t xml:space="preserve">https://www.enforcementtracker.com/ETid-665</t>
  </si>
  <si>
    <t xml:space="preserve">ETid-820</t>
  </si>
  <si>
    <t xml:space="preserve">Art. 5, Art. 12, Art. 13, Art. 14</t>
  </si>
  <si>
    <t xml:space="preserve">https://www.enforcementtracker.com/ETid-820</t>
  </si>
  <si>
    <t xml:space="preserve">ETid-58</t>
  </si>
  <si>
    <t xml:space="preserve">https://www.enforcementtracker.com/ETid-58</t>
  </si>
  <si>
    <t xml:space="preserve">ETid-871</t>
  </si>
  <si>
    <t xml:space="preserve">Art. 12</t>
  </si>
  <si>
    <t xml:space="preserve">https://www.enforcementtracker.com/ETid-871</t>
  </si>
  <si>
    <t xml:space="preserve">ETid-336</t>
  </si>
  <si>
    <t xml:space="preserve">Art. 5, Art. 6, Art. 12, Art. 24, Art. 25</t>
  </si>
  <si>
    <t xml:space="preserve">https://www.enforcementtracker.com/ETid-336</t>
  </si>
  <si>
    <t xml:space="preserve">ETid-884</t>
  </si>
  <si>
    <t xml:space="preserve">Art. 6</t>
  </si>
  <si>
    <t xml:space="preserve">https://www.enforcementtracker.com/ETid-884</t>
  </si>
  <si>
    <t xml:space="preserve">ETid-2993</t>
  </si>
  <si>
    <t xml:space="preserve">https://www.enforcementtracker.com/ETid-2993</t>
  </si>
  <si>
    <t xml:space="preserve">ETid-405</t>
  </si>
  <si>
    <t xml:space="preserve">Data Protection Authority of Hamburg</t>
  </si>
  <si>
    <t xml:space="preserve">https://www.enforcementtracker.com/ETid-405</t>
  </si>
  <si>
    <t xml:space="preserve">ETid-361</t>
  </si>
  <si>
    <t xml:space="preserve">Accomodation and Hospitality</t>
  </si>
  <si>
    <t xml:space="preserve">https://www.enforcementtracker.com/ETid-361</t>
  </si>
  <si>
    <t xml:space="preserve">ETid-1678</t>
  </si>
  <si>
    <t xml:space="preserve">https://www.enforcementtracker.com/ETid-1678</t>
  </si>
  <si>
    <t xml:space="preserve">ETid-2863</t>
  </si>
  <si>
    <t xml:space="preserve">GOOGLE IRELAND LIMITED</t>
  </si>
  <si>
    <t xml:space="preserve">yes</t>
  </si>
  <si>
    <t xml:space="preserve">https://www.enforcementtracker.com/ETid-2863</t>
  </si>
  <si>
    <t xml:space="preserve">ETid-60</t>
  </si>
  <si>
    <t xml:space="preserve">https://www.enforcementtracker.com/ETid-60</t>
  </si>
  <si>
    <t xml:space="preserve">ETid-1656</t>
  </si>
  <si>
    <t xml:space="preserve">Art. 5, Art. 6, Art. 12, Art. 13, Art. 15, Art. 17</t>
  </si>
  <si>
    <t xml:space="preserve">https://www.enforcementtracker.com/ETid-1656</t>
  </si>
  <si>
    <t xml:space="preserve">ETid-872</t>
  </si>
  <si>
    <t xml:space="preserve">AUSTRIA</t>
  </si>
  <si>
    <t xml:space="preserve">fines-cal</t>
  </si>
  <si>
    <t xml:space="preserve">https://www.enforcementtracker.com/ETid-872</t>
  </si>
  <si>
    <t xml:space="preserve">ETid-438</t>
  </si>
  <si>
    <t xml:space="preserve">Art. 5, Art. 6, Art. 7, Art. 15, Art. 16, Art. 21, Art. 24, Art. 25, Art. 32, Art. 33</t>
  </si>
  <si>
    <t xml:space="preserve">https://www.enforcementtracker.com/ETid-438</t>
  </si>
  <si>
    <t xml:space="preserve">ETid-594</t>
  </si>
  <si>
    <t xml:space="preserve">Art. 28, Art. 24, Art. 44, Art. 21</t>
  </si>
  <si>
    <t xml:space="preserve">https://www.enforcementtracker.com/ETid-594</t>
  </si>
  <si>
    <t xml:space="preserve">ETid-520</t>
  </si>
  <si>
    <t xml:space="preserve">Art. 5, Art. 12, Art. 13</t>
  </si>
  <si>
    <t xml:space="preserve">https://www.enforcementtracker.com/ETid-520</t>
  </si>
  <si>
    <t xml:space="preserve">ETid-306</t>
  </si>
  <si>
    <t xml:space="preserve">Art. 5, Art. 6, Art. 32</t>
  </si>
  <si>
    <t xml:space="preserve">https://www.enforcementtracker.com/ETid-306</t>
  </si>
  <si>
    <t xml:space="preserve">ETid-1024</t>
  </si>
  <si>
    <t xml:space="preserve">Art. 5, Art. 13, Art. 14, Art. 25, Art. 26, Art. 28, Art. 35</t>
  </si>
  <si>
    <t xml:space="preserve">Hellenic Data Protection Authority (HDPA)</t>
  </si>
  <si>
    <t xml:space="preserve">https://www.enforcementtracker.com/ETid-1024</t>
  </si>
  <si>
    <t xml:space="preserve">ETid-313</t>
  </si>
  <si>
    <t xml:space="preserve">https://www.enforcementtracker.com/ETid-313</t>
  </si>
  <si>
    <t xml:space="preserve">ETid-509</t>
  </si>
  <si>
    <t xml:space="preserve">https://www.enforcementtracker.com/ETid-509</t>
  </si>
  <si>
    <t xml:space="preserve">ETid-2540</t>
  </si>
  <si>
    <t xml:space="preserve">Art. 5, Art. 6, Art. 7, Art. 12, Art. 13, Art. 15, Art. 16, Art. 17, Art. 18, Art. 19, Art. 20, Art. 21, Art. 22, Art. 24, Art. 25</t>
  </si>
  <si>
    <t xml:space="preserve">https://www.enforcementtracker.com/ETid-2540</t>
  </si>
  <si>
    <t xml:space="preserve">ETid-2994</t>
  </si>
  <si>
    <t xml:space="preserve">Art. 32, Art. 34</t>
  </si>
  <si>
    <t xml:space="preserve">https://www.enforcementtracker.com/ETid-2994</t>
  </si>
  <si>
    <t xml:space="preserve">ETid-204</t>
  </si>
  <si>
    <t xml:space="preserve">GERMANY</t>
  </si>
  <si>
    <t xml:space="preserve">Art. 33, Art. 34</t>
  </si>
  <si>
    <t xml:space="preserve">research-2026-09</t>
  </si>
  <si>
    <t xml:space="preserve">https://www.enforcementtracker.com/ETid-204</t>
  </si>
  <si>
    <t xml:space="preserve">ETid-189</t>
  </si>
  <si>
    <t xml:space="preserve">Art. 5, Art. 6, Art. 17, Art. 21, Art. 32</t>
  </si>
  <si>
    <t xml:space="preserve">https://www.enforcementtracker.com/ETid-189</t>
  </si>
  <si>
    <t xml:space="preserve">ETid-980</t>
  </si>
  <si>
    <t xml:space="preserve">https://www.enforcementtracker.com/ETid-980</t>
  </si>
  <si>
    <t xml:space="preserve">ETid-1436</t>
  </si>
  <si>
    <t xml:space="preserve">https://www.enforcementtracker.com/ETid-1436</t>
  </si>
  <si>
    <t xml:space="preserve">ETid-979</t>
  </si>
  <si>
    <t xml:space="preserve">https://www.enforcementtracker.com/ETid-979</t>
  </si>
  <si>
    <t xml:space="preserve">ETid-113</t>
  </si>
  <si>
    <t xml:space="preserve">https://www.enforcementtracker.com/ETid-113</t>
  </si>
  <si>
    <t xml:space="preserve">ETid-2862</t>
  </si>
  <si>
    <t xml:space="preserve">https://www.enforcementtracker.com/ETid-2862</t>
  </si>
  <si>
    <t xml:space="preserve">ETid-1055</t>
  </si>
  <si>
    <t xml:space="preserve">https://www.enforcementtracker.com/ETid-1055</t>
  </si>
  <si>
    <t xml:space="preserve">ETid-72</t>
  </si>
  <si>
    <t xml:space="preserve">Data Protection Commision of Bulgaria (KZLD)</t>
  </si>
  <si>
    <t xml:space="preserve">https://www.enforcementtracker.com/ETid-72</t>
  </si>
  <si>
    <t xml:space="preserve">ETid-877</t>
  </si>
  <si>
    <t xml:space="preserve">Art. 5, Art. 6, Art. 7, Art. 12, Art. 14, Art. 21, Art. 28, Art. 29</t>
  </si>
  <si>
    <t xml:space="preserve">https://www.enforcementtracker.com/ETid-877</t>
  </si>
  <si>
    <t xml:space="preserve">ETid-2077</t>
  </si>
  <si>
    <t xml:space="preserve">Art. 5, Art. 24</t>
  </si>
  <si>
    <t xml:space="preserve">https://www.enforcementtracker.com/ETid-2077</t>
  </si>
  <si>
    <t xml:space="preserve">ETid-670</t>
  </si>
  <si>
    <t xml:space="preserve">Art. 13, Art. 25</t>
  </si>
  <si>
    <t xml:space="preserve">https://www.enforcementtracker.com/ETid-670</t>
  </si>
  <si>
    <t xml:space="preserve">ETid-1025</t>
  </si>
  <si>
    <t xml:space="preserve">https://www.enforcementtracker.com/ETid-1025</t>
  </si>
  <si>
    <t xml:space="preserve">ETid-519</t>
  </si>
  <si>
    <t xml:space="preserve">Data Protection Authority of Niedersachsen</t>
  </si>
  <si>
    <t xml:space="preserve">https://www.enforcementtracker.com/ETid-519</t>
  </si>
  <si>
    <t xml:space="preserve">ETid-3102</t>
  </si>
  <si>
    <t xml:space="preserve">Croatia</t>
  </si>
  <si>
    <t xml:space="preserve">Art. 5, Art. 6, Art. 12, Art. 13, Art. 25</t>
  </si>
  <si>
    <t xml:space="preserve">Croatian Data Protection Authority (azop)</t>
  </si>
  <si>
    <t xml:space="preserve">carried-by-name</t>
  </si>
  <si>
    <t xml:space="preserve">https://www.enforcementtracker.com/ETid-3102</t>
  </si>
  <si>
    <t xml:space="preserve">ETid-107</t>
  </si>
  <si>
    <t xml:space="preserve">https://www.enforcementtracker.com/ETid-107</t>
  </si>
  <si>
    <t xml:space="preserve">ETid-737</t>
  </si>
  <si>
    <t xml:space="preserve">Art. 5, Art. 6, Art. 7</t>
  </si>
  <si>
    <t xml:space="preserve">https://www.enforcementtracker.com/ETid-737</t>
  </si>
  <si>
    <t xml:space="preserve">ETid-1730</t>
  </si>
  <si>
    <t xml:space="preserve">https://www.enforcementtracker.com/ETid-1730</t>
  </si>
  <si>
    <t xml:space="preserve">ETid-978</t>
  </si>
  <si>
    <t xml:space="preserve">https://www.enforcementtracker.com/ETid-978</t>
  </si>
  <si>
    <t xml:space="preserve">ETid-1112</t>
  </si>
  <si>
    <t xml:space="preserve">Data Protection Authority of Sweden</t>
  </si>
  <si>
    <t xml:space="preserve">https://www.enforcementtracker.com/ETid-1112</t>
  </si>
  <si>
    <t xml:space="preserve">ETid-2878</t>
  </si>
  <si>
    <t xml:space="preserve">Art. 5, Art. 28</t>
  </si>
  <si>
    <t xml:space="preserve">https://www.enforcementtracker.com/ETid-2878</t>
  </si>
  <si>
    <t xml:space="preserve">ETid-2216</t>
  </si>
  <si>
    <t xml:space="preserve">https://www.enforcementtracker.com/ETid-2216</t>
  </si>
  <si>
    <t xml:space="preserve">ETid-1876</t>
  </si>
  <si>
    <t xml:space="preserve">https://www.enforcementtracker.com/ETid-1876</t>
  </si>
  <si>
    <t xml:space="preserve">ETid-1505</t>
  </si>
  <si>
    <t xml:space="preserve">Art. 5, Art. 6, Art. 7, Art. 12, Art. 13</t>
  </si>
  <si>
    <t xml:space="preserve">https://www.enforcementtracker.com/ETid-1505</t>
  </si>
  <si>
    <t xml:space="preserve">ETid-2192</t>
  </si>
  <si>
    <t xml:space="preserve">Art. 5, Art. 6, Art. 12, Art. 13, Art. 32</t>
  </si>
  <si>
    <t xml:space="preserve">https://www.enforcementtracker.com/ETid-2192</t>
  </si>
  <si>
    <t xml:space="preserve">ETid-751</t>
  </si>
  <si>
    <t xml:space="preserve">https://www.enforcementtracker.com/ETid-751</t>
  </si>
  <si>
    <t xml:space="preserve">ETid-23</t>
  </si>
  <si>
    <t xml:space="preserve">Art. 13, Art. 14, Art. 6, Art. 5</t>
  </si>
  <si>
    <t xml:space="preserve">https://www.enforcementtracker.com/ETid-23</t>
  </si>
  <si>
    <t xml:space="preserve">ETid-1254</t>
  </si>
  <si>
    <t xml:space="preserve">Art. 5, Art. 12, Art. 15, Art. 17, Art. 25</t>
  </si>
  <si>
    <t xml:space="preserve">https://www.enforcementtracker.com/ETid-1254</t>
  </si>
  <si>
    <t xml:space="preserve">ETid-331</t>
  </si>
  <si>
    <t xml:space="preserve">https://www.enforcementtracker.com/ETid-331</t>
  </si>
  <si>
    <t xml:space="preserve">ETid-2199</t>
  </si>
  <si>
    <t xml:space="preserve">https://www.enforcementtracker.com/ETid-2199</t>
  </si>
  <si>
    <t xml:space="preserve">ETid-1871</t>
  </si>
  <si>
    <t xml:space="preserve">Art. 5, Art. 6, Art. 7, Art. 12, Art. 13, Art. 14, Art. 15, Art. 32</t>
  </si>
  <si>
    <t xml:space="preserve">https://www.enforcementtracker.com/ETid-1871</t>
  </si>
  <si>
    <t xml:space="preserve">ETid-1089</t>
  </si>
  <si>
    <t xml:space="preserve">https://www.enforcementtracker.com/ETid-1089</t>
  </si>
  <si>
    <t xml:space="preserve">ETid-2526</t>
  </si>
  <si>
    <t xml:space="preserve">https://www.enforcementtracker.com/ETid-2526</t>
  </si>
  <si>
    <t xml:space="preserve">ETid-2562</t>
  </si>
  <si>
    <t xml:space="preserve">Art. 5, Art. 25</t>
  </si>
  <si>
    <t xml:space="preserve">https://www.enforcementtracker.com/ETid-2562</t>
  </si>
  <si>
    <t xml:space="preserve">ETid-128</t>
  </si>
  <si>
    <t xml:space="preserve">The Federal Commissioner for Data Protection and Freedom of Information (BfDI)</t>
  </si>
  <si>
    <t xml:space="preserve">https://www.enforcementtracker.com/ETid-128</t>
  </si>
  <si>
    <t xml:space="preserve">ETid-2214</t>
  </si>
  <si>
    <t xml:space="preserve">https://www.enforcementtracker.com/ETid-2214</t>
  </si>
  <si>
    <t xml:space="preserve">ETid-2023</t>
  </si>
  <si>
    <t xml:space="preserve">Art. 5, Art. 13, Art. 28</t>
  </si>
  <si>
    <t xml:space="preserve">https://www.enforcementtracker.com/ETid-2023</t>
  </si>
  <si>
    <t xml:space="preserve">ETid-1829</t>
  </si>
  <si>
    <t xml:space="preserve">https://www.enforcementtracker.com/ETid-1829</t>
  </si>
  <si>
    <t xml:space="preserve">ETid-3267</t>
  </si>
  <si>
    <t xml:space="preserve">Art. 5, Art. 12, Art. 21, Art. 24</t>
  </si>
  <si>
    <t xml:space="preserve">https://www.enforcementtracker.com/ETid-3267</t>
  </si>
  <si>
    <t xml:space="preserve">ETid-1736</t>
  </si>
  <si>
    <t xml:space="preserve">https://www.enforcementtracker.com/ETid-1736</t>
  </si>
  <si>
    <t xml:space="preserve">ETid-71</t>
  </si>
  <si>
    <t xml:space="preserve">Public Sector and Education</t>
  </si>
  <si>
    <t xml:space="preserve">https://www.enforcementtracker.com/ETid-71</t>
  </si>
  <si>
    <t xml:space="preserve">ETid-481</t>
  </si>
  <si>
    <t xml:space="preserve">Art. 6, Art. 13</t>
  </si>
  <si>
    <t xml:space="preserve">https://www.enforcementtracker.com/ETid-481</t>
  </si>
  <si>
    <t xml:space="preserve">ETid-2507</t>
  </si>
  <si>
    <t xml:space="preserve">Art. 5, Art. 12, Art. 13, Art. 15</t>
  </si>
  <si>
    <t xml:space="preserve">https://www.enforcementtracker.com/ETid-2507</t>
  </si>
  <si>
    <t xml:space="preserve">ETid-2227</t>
  </si>
  <si>
    <t xml:space="preserve">https://www.enforcementtracker.com/ETid-2227</t>
  </si>
  <si>
    <t xml:space="preserve">ETid-485</t>
  </si>
  <si>
    <t xml:space="preserve">Art. 33</t>
  </si>
  <si>
    <t xml:space="preserve">https://www.enforcementtracker.com/ETid-485</t>
  </si>
  <si>
    <t xml:space="preserve">ETid-1856</t>
  </si>
  <si>
    <t xml:space="preserve">Art. 5, Art. 15, Art. 22</t>
  </si>
  <si>
    <t xml:space="preserve">Data Protection Authority of Berlin</t>
  </si>
  <si>
    <t xml:space="preserve">https://www.enforcementtracker.com/ETid-1856</t>
  </si>
  <si>
    <t xml:space="preserve">ETid-522</t>
  </si>
  <si>
    <t xml:space="preserve">Art. 6, Art. 13, Art. 14</t>
  </si>
  <si>
    <t xml:space="preserve">https://www.enforcementtracker.com/ETid-522</t>
  </si>
  <si>
    <t xml:space="preserve">ETid-15</t>
  </si>
  <si>
    <t xml:space="preserve">Czech Data Protection Auhtority (UOOU)</t>
  </si>
  <si>
    <t xml:space="preserve">https://www.enforcementtracker.com/ETid-15</t>
  </si>
  <si>
    <t xml:space="preserve">ETid-1058</t>
  </si>
  <si>
    <t xml:space="preserve">XFERA MÓVILES, S.A.</t>
  </si>
  <si>
    <t xml:space="preserve">https://www.enforcementtracker.com/ETid-1058</t>
  </si>
  <si>
    <t xml:space="preserve">ETid-2189</t>
  </si>
  <si>
    <t xml:space="preserve">https://www.enforcementtracker.com/ETid-2189</t>
  </si>
  <si>
    <t xml:space="preserve">ETid-1578</t>
  </si>
  <si>
    <t xml:space="preserve">Art. 6, Art. 12, Art. 13</t>
  </si>
  <si>
    <t xml:space="preserve">https://www.enforcementtracker.com/ETid-1578</t>
  </si>
  <si>
    <t xml:space="preserve">ETid-186</t>
  </si>
  <si>
    <t xml:space="preserve">Art. 5, Art. 6, Art. 17, Art. 21</t>
  </si>
  <si>
    <t xml:space="preserve">https://www.enforcementtracker.com/ETid-186</t>
  </si>
  <si>
    <t xml:space="preserve">ETid-1361</t>
  </si>
  <si>
    <t xml:space="preserve">Art. 12, Art. 13, Art. 15, Art. 21, Art. 32</t>
  </si>
  <si>
    <t xml:space="preserve">https://www.enforcementtracker.com/ETid-1361</t>
  </si>
  <si>
    <t xml:space="preserve">ETid-554</t>
  </si>
  <si>
    <t xml:space="preserve">https://www.enforcementtracker.com/ETid-554</t>
  </si>
  <si>
    <t xml:space="preserve">ETid-2278</t>
  </si>
  <si>
    <t xml:space="preserve">https://www.enforcementtracker.com/ETid-2278</t>
  </si>
  <si>
    <t xml:space="preserve">ETid-489</t>
  </si>
  <si>
    <t xml:space="preserve">https://www.enforcementtracker.com/ETid-489</t>
  </si>
  <si>
    <t xml:space="preserve">ETid-671</t>
  </si>
  <si>
    <t xml:space="preserve">https://www.enforcementtracker.com/ETid-671</t>
  </si>
  <si>
    <t xml:space="preserve">ETid-988</t>
  </si>
  <si>
    <t xml:space="preserve">Unknown</t>
  </si>
  <si>
    <t xml:space="preserve">https://www.enforcementtracker.com/ETid-988</t>
  </si>
  <si>
    <t xml:space="preserve">ETid-504</t>
  </si>
  <si>
    <t xml:space="preserve">https://www.enforcementtracker.com/ETid-504</t>
  </si>
  <si>
    <t xml:space="preserve">ETid-2682</t>
  </si>
  <si>
    <t xml:space="preserve">Art. 5, Art. 6, Art. 88</t>
  </si>
  <si>
    <t xml:space="preserve">https://www.enforcementtracker.com/ETid-2682</t>
  </si>
  <si>
    <t xml:space="preserve">ETid-694</t>
  </si>
  <si>
    <t xml:space="preserve">https://www.enforcementtracker.com/ETid-694</t>
  </si>
  <si>
    <t xml:space="preserve">ETid-777</t>
  </si>
  <si>
    <t xml:space="preserve">Art. 5, Art. 6, Art. 9, Art. 12, Art. 13, Art. 25, Art. 35</t>
  </si>
  <si>
    <t xml:space="preserve">https://www.enforcementtracker.com/ETid-777</t>
  </si>
  <si>
    <t xml:space="preserve">ETid-578</t>
  </si>
  <si>
    <t xml:space="preserve">Cypriot Data Protection Commissioner</t>
  </si>
  <si>
    <t xml:space="preserve">https://www.enforcementtracker.com/ETid-578</t>
  </si>
  <si>
    <t xml:space="preserve">ETid-2295</t>
  </si>
  <si>
    <t xml:space="preserve">CAIXABANK, S.A</t>
  </si>
  <si>
    <t xml:space="preserve">https://www.enforcementtracker.com/ETid-2295</t>
  </si>
  <si>
    <t xml:space="preserve">ETid-570</t>
  </si>
  <si>
    <t xml:space="preserve">https://www.enforcementtracker.com/ETid-570</t>
  </si>
  <si>
    <t xml:space="preserve">ETid-772</t>
  </si>
  <si>
    <t xml:space="preserve">Art. 5, Art. 9</t>
  </si>
  <si>
    <t xml:space="preserve">https://www.enforcementtracker.com/ETid-772</t>
  </si>
  <si>
    <t xml:space="preserve">ETid-1702</t>
  </si>
  <si>
    <t xml:space="preserve">https://www.enforcementtracker.com/ETid-1702</t>
  </si>
  <si>
    <t xml:space="preserve">ETid-1845</t>
  </si>
  <si>
    <t xml:space="preserve">https://www.enforcementtracker.com/ETid-1845</t>
  </si>
  <si>
    <t xml:space="preserve">ETid-278</t>
  </si>
  <si>
    <t xml:space="preserve">https://www.enforcementtracker.com/ETid-278</t>
  </si>
  <si>
    <t xml:space="preserve">ETid-1921</t>
  </si>
  <si>
    <t xml:space="preserve">Art. 5, Art. 6, Art. 15, Art. 25</t>
  </si>
  <si>
    <t xml:space="preserve">https://www.enforcementtracker.com/ETid-1921</t>
  </si>
  <si>
    <t xml:space="preserve">ETid-115</t>
  </si>
  <si>
    <t xml:space="preserve">https://www.enforcementtracker.com/ETid-115</t>
  </si>
  <si>
    <t xml:space="preserve">ETid-1495</t>
  </si>
  <si>
    <t xml:space="preserve">Art. 25, Art. 32</t>
  </si>
  <si>
    <t xml:space="preserve">https://www.enforcementtracker.com/ETid-1495</t>
  </si>
  <si>
    <t xml:space="preserve">ETid-125</t>
  </si>
  <si>
    <t xml:space="preserve">https://www.enforcementtracker.com/ETid-125</t>
  </si>
  <si>
    <t xml:space="preserve">ETid-104</t>
  </si>
  <si>
    <t xml:space="preserve">SPAIN</t>
  </si>
  <si>
    <t xml:space="preserve">ETid-279</t>
  </si>
  <si>
    <t xml:space="preserve">Art. 12, Art. 13, Art. 14, Art. 15</t>
  </si>
  <si>
    <t xml:space="preserve">https://www.enforcementtracker.com/ETid-279</t>
  </si>
  <si>
    <t xml:space="preserve">ETid-593</t>
  </si>
  <si>
    <t xml:space="preserve">Art. 5, Art. 17, Art. 32</t>
  </si>
  <si>
    <t xml:space="preserve">https://www.enforcementtracker.com/ETid-593</t>
  </si>
  <si>
    <t xml:space="preserve">ETid-1176</t>
  </si>
  <si>
    <t xml:space="preserve">Art. 6, Art. 17</t>
  </si>
  <si>
    <t xml:space="preserve">https://www.enforcementtracker.com/ETid-1176</t>
  </si>
  <si>
    <t xml:space="preserve">ETid-846</t>
  </si>
  <si>
    <t xml:space="preserve">https://www.enforcementtracker.com/ETid-846</t>
  </si>
  <si>
    <t xml:space="preserve">ETid-85</t>
  </si>
  <si>
    <t xml:space="preserve">https://www.enforcementtracker.com/ETid-85</t>
  </si>
  <si>
    <t xml:space="preserve">ETid-294</t>
  </si>
  <si>
    <t xml:space="preserve">https://www.enforcementtracker.com/ETid-294</t>
  </si>
  <si>
    <t xml:space="preserve">ETid-2072</t>
  </si>
  <si>
    <t xml:space="preserve">Art. 7, Art. 12, Art. 13, Art. 14, Art. 15, Art. 28, Art. 32, Art. 33</t>
  </si>
  <si>
    <t xml:space="preserve">https://www.enforcementtracker.com/ETid-2072</t>
  </si>
  <si>
    <t xml:space="preserve">ETid-365</t>
  </si>
  <si>
    <t xml:space="preserve">https://www.enforcementtracker.com/ETid-365</t>
  </si>
  <si>
    <t xml:space="preserve">ETid-396</t>
  </si>
  <si>
    <t xml:space="preserve">https://www.enforcementtracker.com/ETid-396</t>
  </si>
  <si>
    <t xml:space="preserve">ETid-1922</t>
  </si>
  <si>
    <t xml:space="preserve">Art. 12, Art. 15, Art. 21, Art. 25</t>
  </si>
  <si>
    <t xml:space="preserve">https://www.enforcementtracker.com/ETid-1922</t>
  </si>
  <si>
    <t xml:space="preserve">ETid-95</t>
  </si>
  <si>
    <t xml:space="preserve">SLOVAKIA</t>
  </si>
  <si>
    <t xml:space="preserve">ETid-1860</t>
  </si>
  <si>
    <t xml:space="preserve">https://www.enforcementtracker.com/ETid-1860</t>
  </si>
  <si>
    <t xml:space="preserve">ETid-311</t>
  </si>
  <si>
    <t xml:space="preserve">https://www.enforcementtracker.com/ETid-311</t>
  </si>
  <si>
    <t xml:space="preserve">ETid-2564</t>
  </si>
  <si>
    <t xml:space="preserve">https://www.enforcementtracker.com/ETid-2564</t>
  </si>
  <si>
    <t xml:space="preserve">ETid-2565</t>
  </si>
  <si>
    <t xml:space="preserve">https://www.enforcementtracker.com/ETid-2565</t>
  </si>
  <si>
    <t xml:space="preserve">ETid-350</t>
  </si>
  <si>
    <t xml:space="preserve">https://www.enforcementtracker.com/ETid-350</t>
  </si>
  <si>
    <t xml:space="preserve">ETid-2489</t>
  </si>
  <si>
    <t xml:space="preserve">VODAFONE ESPAÑA, S.A.U.</t>
  </si>
  <si>
    <t xml:space="preserve">https://www.enforcementtracker.com/ETid-2489</t>
  </si>
  <si>
    <t xml:space="preserve">ETid-2490</t>
  </si>
  <si>
    <t xml:space="preserve">https://www.enforcementtracker.com/ETid-2490</t>
  </si>
  <si>
    <t xml:space="preserve">ETid-2263</t>
  </si>
  <si>
    <t xml:space="preserve">https://www.enforcementtracker.com/ETid-2263</t>
  </si>
  <si>
    <t xml:space="preserve">ETid-2293</t>
  </si>
  <si>
    <t xml:space="preserve">https://www.enforcementtracker.com/ETid-2293</t>
  </si>
  <si>
    <t xml:space="preserve">ETid-2294</t>
  </si>
  <si>
    <t xml:space="preserve">https://www.enforcementtracker.com/ETid-2294</t>
  </si>
  <si>
    <t xml:space="preserve">ETid-2329</t>
  </si>
  <si>
    <t xml:space="preserve">https://www.enforcementtracker.com/ETid-2329</t>
  </si>
  <si>
    <t xml:space="preserve">ETid-2402</t>
  </si>
  <si>
    <t xml:space="preserve">https://www.enforcementtracker.com/ETid-2402</t>
  </si>
  <si>
    <t xml:space="preserve">ETid-174</t>
  </si>
  <si>
    <t xml:space="preserve">https://www.enforcementtracker.com/ETid-174</t>
  </si>
  <si>
    <t xml:space="preserve">ETid-187</t>
  </si>
  <si>
    <t xml:space="preserve">https://www.enforcementtracker.com/ETid-187</t>
  </si>
  <si>
    <t xml:space="preserve">ETid-382</t>
  </si>
  <si>
    <t xml:space="preserve">Vodafone España SAU</t>
  </si>
  <si>
    <t xml:space="preserve">https://www.enforcementtracker.com/ETid-382</t>
  </si>
  <si>
    <t xml:space="preserve">ETid-119</t>
  </si>
  <si>
    <t xml:space="preserve">https://www.enforcementtracker.com/ETid-119</t>
  </si>
  <si>
    <t xml:space="preserve">ETid-192</t>
  </si>
  <si>
    <t xml:space="preserve">https://www.enforcementtracker.com/ETid-192</t>
  </si>
  <si>
    <t xml:space="preserve">ETid-408</t>
  </si>
  <si>
    <t xml:space="preserve">https://www.enforcementtracker.com/ETid-408</t>
  </si>
  <si>
    <t xml:space="preserve">ETid-93</t>
  </si>
  <si>
    <t xml:space="preserve">https://www.enforcementtracker.com/ETid-93</t>
  </si>
  <si>
    <t xml:space="preserve">ETid-320</t>
  </si>
  <si>
    <t xml:space="preserve">https://www.enforcementtracker.com/ETid-320</t>
  </si>
  <si>
    <t xml:space="preserve">ETid-2091</t>
  </si>
  <si>
    <t xml:space="preserve">https://www.enforcementtracker.com/ETid-2091</t>
  </si>
  <si>
    <t xml:space="preserve">ETid-994</t>
  </si>
  <si>
    <t xml:space="preserve">Art. 38</t>
  </si>
  <si>
    <t xml:space="preserve">https://www.enforcementtracker.com/ETid-994</t>
  </si>
  <si>
    <t xml:space="preserve">ETid-1440</t>
  </si>
  <si>
    <t xml:space="preserve">Art. 5, Art. 6, Art. 12</t>
  </si>
  <si>
    <t xml:space="preserve">https://www.enforcementtracker.com/ETid-1440</t>
  </si>
  <si>
    <t xml:space="preserve">ETid-84</t>
  </si>
  <si>
    <t xml:space="preserve">https://www.enforcementtracker.com/ETid-84</t>
  </si>
  <si>
    <t xml:space="preserve">ETid-1767</t>
  </si>
  <si>
    <t xml:space="preserve">Vodafone</t>
  </si>
  <si>
    <t xml:space="preserve">Art. 15, Art. 33</t>
  </si>
  <si>
    <t xml:space="preserve">https://www.enforcementtracker.com/ETid-1767</t>
  </si>
  <si>
    <t xml:space="preserve">ETid-908</t>
  </si>
  <si>
    <t xml:space="preserve">https://www.enforcementtracker.com/ETid-908</t>
  </si>
  <si>
    <t xml:space="preserve">ETid-914</t>
  </si>
  <si>
    <t xml:space="preserve">https://www.enforcementtracker.com/ETid-914</t>
  </si>
  <si>
    <t xml:space="preserve">ETid-1775</t>
  </si>
  <si>
    <t xml:space="preserve">https://www.enforcementtracker.com/ETid-1775</t>
  </si>
  <si>
    <t xml:space="preserve">ETid-888</t>
  </si>
  <si>
    <t xml:space="preserve">https://www.enforcementtracker.com/ETid-888</t>
  </si>
  <si>
    <t xml:space="preserve">ETid-889</t>
  </si>
  <si>
    <t xml:space="preserve">https://www.enforcementtracker.com/ETid-889</t>
  </si>
  <si>
    <t xml:space="preserve">ETid-343</t>
  </si>
  <si>
    <t xml:space="preserve">https://www.enforcementtracker.com/ETid-343</t>
  </si>
  <si>
    <t xml:space="preserve">ETid-1503</t>
  </si>
  <si>
    <t xml:space="preserve">https://www.enforcementtracker.com/ETid-1503</t>
  </si>
  <si>
    <t xml:space="preserve">ETid-612</t>
  </si>
  <si>
    <t xml:space="preserve">https://www.enforcementtracker.com/ETid-612</t>
  </si>
  <si>
    <t xml:space="preserve">ETid-559</t>
  </si>
  <si>
    <t xml:space="preserve">Art. 5, Art. 9, Art. 32</t>
  </si>
  <si>
    <t xml:space="preserve">https://www.enforcementtracker.com/ETid-559</t>
  </si>
  <si>
    <t xml:space="preserve">ETid-131</t>
  </si>
  <si>
    <t xml:space="preserve">https://www.enforcementtracker.com/ETid-131</t>
  </si>
  <si>
    <t xml:space="preserve">ETid-341</t>
  </si>
  <si>
    <t xml:space="preserve">https://www.enforcementtracker.com/ETid-341</t>
  </si>
  <si>
    <t xml:space="preserve">ETid-232</t>
  </si>
  <si>
    <t xml:space="preserve">Art. 5, Art. 6, Art. 17</t>
  </si>
  <si>
    <t xml:space="preserve">https://www.enforcementtracker.com/ETid-232</t>
  </si>
  <si>
    <t xml:space="preserve">ETid-1695</t>
  </si>
  <si>
    <t xml:space="preserve">Art. 6, Art. 32</t>
  </si>
  <si>
    <t xml:space="preserve">https://www.enforcementtracker.com/ETid-1695</t>
  </si>
  <si>
    <t xml:space="preserve">ETid-770</t>
  </si>
  <si>
    <t xml:space="preserve">https://www.enforcementtracker.com/ETid-770</t>
  </si>
  <si>
    <t xml:space="preserve">ETid-972</t>
  </si>
  <si>
    <t xml:space="preserve">Art. 12, Art. 15, Art. 21, Art. 25, Art. 32</t>
  </si>
  <si>
    <t xml:space="preserve">https://www.enforcementtracker.com/ETid-972</t>
  </si>
  <si>
    <t xml:space="preserve">ETid-1527</t>
  </si>
  <si>
    <t xml:space="preserve">Art. 12, Art. 15, Art. 17, Art. 32, Art. 33</t>
  </si>
  <si>
    <t xml:space="preserve">https://www.enforcementtracker.com/ETid-1527</t>
  </si>
  <si>
    <t xml:space="preserve">ETid-188</t>
  </si>
  <si>
    <t xml:space="preserve">https://www.enforcementtracker.com/ETid-188</t>
  </si>
  <si>
    <t xml:space="preserve">ETid-2508</t>
  </si>
  <si>
    <t xml:space="preserve">https://www.enforcementtracker.com/ETid-2508</t>
  </si>
  <si>
    <t xml:space="preserve">ETid-457</t>
  </si>
  <si>
    <t xml:space="preserve">Art. 5, Art. 12, Art. 13, Art. 15, Art. 17, Art. 21, Art. 32, Art. 33</t>
  </si>
  <si>
    <t xml:space="preserve">https://www.enforcementtracker.com/ETid-457</t>
  </si>
  <si>
    <t xml:space="preserve">ETid-3201</t>
  </si>
  <si>
    <t xml:space="preserve">https://www.enforcementtracker.com/ETid-3201</t>
  </si>
  <si>
    <t xml:space="preserve">ETid-214</t>
  </si>
  <si>
    <t xml:space="preserve">https://www.enforcementtracker.com/ETid-214</t>
  </si>
  <si>
    <t xml:space="preserve">ETid-3106</t>
  </si>
  <si>
    <t xml:space="preserve">Art. 12, Art. 15, Art. 18</t>
  </si>
  <si>
    <t xml:space="preserve">https://www.enforcementtracker.com/ETid-3106</t>
  </si>
  <si>
    <t xml:space="preserve">ETid-905</t>
  </si>
  <si>
    <t xml:space="preserve">https://www.enforcementtracker.com/ETid-905</t>
  </si>
  <si>
    <t xml:space="preserve">ETid-477</t>
  </si>
  <si>
    <t xml:space="preserve">https://www.enforcementtracker.com/ETid-477</t>
  </si>
  <si>
    <t xml:space="preserve">ETid-2536</t>
  </si>
  <si>
    <t xml:space="preserve">https://www.enforcementtracker.com/ETid-2536</t>
  </si>
  <si>
    <t xml:space="preserve">ETid-2286</t>
  </si>
  <si>
    <t xml:space="preserve">https://www.enforcementtracker.com/ETid-2286</t>
  </si>
  <si>
    <t xml:space="preserve">ETid-1773</t>
  </si>
  <si>
    <t xml:space="preserve">https://www.enforcementtracker.com/ETid-1773</t>
  </si>
  <si>
    <t xml:space="preserve">ETid-289</t>
  </si>
  <si>
    <t xml:space="preserve">https://www.enforcementtracker.com/ETid-289</t>
  </si>
  <si>
    <t xml:space="preserve">ETid-1520</t>
  </si>
  <si>
    <t xml:space="preserve">https://www.enforcementtracker.com/ETid-1520</t>
  </si>
  <si>
    <t xml:space="preserve">ETid-2272</t>
  </si>
  <si>
    <t xml:space="preserve">https://www.enforcementtracker.com/ETid-2272</t>
  </si>
  <si>
    <t xml:space="preserve">ETid-1584</t>
  </si>
  <si>
    <t xml:space="preserve">https://www.enforcementtracker.com/ETid-1584</t>
  </si>
  <si>
    <t xml:space="preserve">ETid-2154</t>
  </si>
  <si>
    <t xml:space="preserve">https://www.enforcementtracker.com/ETid-2154</t>
  </si>
  <si>
    <t xml:space="preserve">ETid-811</t>
  </si>
  <si>
    <t xml:space="preserve">https://www.enforcementtracker.com/ETid-811</t>
  </si>
  <si>
    <t xml:space="preserve">ETid-636</t>
  </si>
  <si>
    <t xml:space="preserve">https://www.enforcementtracker.com/ETid-636</t>
  </si>
  <si>
    <t xml:space="preserve">ETid-211</t>
  </si>
  <si>
    <t xml:space="preserve">https://www.enforcementtracker.com/ETid-211</t>
  </si>
  <si>
    <t xml:space="preserve">ETid-668</t>
  </si>
  <si>
    <t xml:space="preserve">https://www.enforcementtracker.com/ETid-668</t>
  </si>
  <si>
    <t xml:space="preserve">ETid-78</t>
  </si>
  <si>
    <t xml:space="preserve">Art. 15, Art. 17, Art. 21</t>
  </si>
  <si>
    <t xml:space="preserve">https://www.enforcementtracker.com/ETid-78</t>
  </si>
  <si>
    <t xml:space="preserve">ETid-2026</t>
  </si>
  <si>
    <t xml:space="preserve">https://www.enforcementtracker.com/ETid-2026</t>
  </si>
  <si>
    <t xml:space="preserve">ETid-759</t>
  </si>
  <si>
    <t xml:space="preserve">https://www.enforcementtracker.com/ETid-759</t>
  </si>
  <si>
    <t xml:space="preserve">ETid-193</t>
  </si>
  <si>
    <t xml:space="preserve">https://www.enforcementtracker.com/ETid-193</t>
  </si>
  <si>
    <t xml:space="preserve">ETid-197</t>
  </si>
  <si>
    <t xml:space="preserve">https://www.enforcementtracker.com/ETid-197</t>
  </si>
  <si>
    <t xml:space="preserve">ETid-263</t>
  </si>
  <si>
    <t xml:space="preserve">https://www.enforcementtracker.com/ETid-263</t>
  </si>
  <si>
    <t xml:space="preserve">ETid-2728</t>
  </si>
  <si>
    <t xml:space="preserve">https://www.enforcementtracker.com/ETid-2728</t>
  </si>
  <si>
    <t xml:space="preserve">ETid-879</t>
  </si>
  <si>
    <t xml:space="preserve">Art. 21</t>
  </si>
  <si>
    <t xml:space="preserve">https://www.enforcementtracker.com/ETid-879</t>
  </si>
  <si>
    <t xml:space="preserve">ETid-541</t>
  </si>
  <si>
    <t xml:space="preserve">https://www.enforcementtracker.com/ETid-541</t>
  </si>
  <si>
    <t xml:space="preserve">ETid-360</t>
  </si>
  <si>
    <t xml:space="preserve">https://www.enforcementtracker.com/ETid-360</t>
  </si>
  <si>
    <t xml:space="preserve">ETid-886</t>
  </si>
  <si>
    <t xml:space="preserve">https://www.enforcementtracker.com/ETid-886</t>
  </si>
  <si>
    <t xml:space="preserve">ETid-606</t>
  </si>
  <si>
    <t xml:space="preserve">https://www.enforcementtracker.com/ETid-606</t>
  </si>
  <si>
    <t xml:space="preserve">ETid-152</t>
  </si>
  <si>
    <t xml:space="preserve">https://www.enforcementtracker.com/ETid-152</t>
  </si>
  <si>
    <t xml:space="preserve">ETid-153</t>
  </si>
  <si>
    <t xml:space="preserve">https://www.enforcementtracker.com/ETid-153</t>
  </si>
  <si>
    <t xml:space="preserve">ETid-194</t>
  </si>
  <si>
    <t xml:space="preserve">https://www.enforcementtracker.com/ETid-194</t>
  </si>
  <si>
    <t xml:space="preserve">ETid-225</t>
  </si>
  <si>
    <t xml:space="preserve">https://www.enforcementtracker.com/ETid-225</t>
  </si>
  <si>
    <t xml:space="preserve">ETid-605</t>
  </si>
  <si>
    <t xml:space="preserve">https://www.enforcementtracker.com/ETid-605</t>
  </si>
  <si>
    <t xml:space="preserve">ETid-2503</t>
  </si>
  <si>
    <t xml:space="preserve">https://www.enforcementtracker.com/ETid-2503</t>
  </si>
  <si>
    <t xml:space="preserve">ETid-439</t>
  </si>
  <si>
    <t xml:space="preserve">Art. 31</t>
  </si>
  <si>
    <t xml:space="preserve">https://www.enforcementtracker.com/ETid-439</t>
  </si>
  <si>
    <t xml:space="preserve">ETid-1878</t>
  </si>
  <si>
    <t xml:space="preserve">https://www.enforcementtracker.com/ETid-1878</t>
  </si>
  <si>
    <t xml:space="preserve">ETid-2134</t>
  </si>
  <si>
    <t xml:space="preserve">https://www.enforcementtracker.com/ETid-2134</t>
  </si>
  <si>
    <t xml:space="preserve">ETid-997</t>
  </si>
  <si>
    <t xml:space="preserve">https://www.enforcementtracker.com/ETid-997</t>
  </si>
  <si>
    <t xml:space="preserve">ETid-1260</t>
  </si>
  <si>
    <t xml:space="preserve">https://www.enforcementtracker.com/ETid-1260</t>
  </si>
  <si>
    <t xml:space="preserve">ETid-1480</t>
  </si>
  <si>
    <t xml:space="preserve">https://www.enforcementtracker.com/ETid-1480</t>
  </si>
  <si>
    <t xml:space="preserve">ETid-1525</t>
  </si>
  <si>
    <t xml:space="preserve">https://www.enforcementtracker.com/ETid-1525</t>
  </si>
  <si>
    <t xml:space="preserve">ETid-1529</t>
  </si>
  <si>
    <t xml:space="preserve">https://www.enforcementtracker.com/ETid-1529</t>
  </si>
  <si>
    <t xml:space="preserve">ETid-1530</t>
  </si>
  <si>
    <t xml:space="preserve">https://www.enforcementtracker.com/ETid-1530</t>
  </si>
  <si>
    <t xml:space="preserve">ETid-1572</t>
  </si>
  <si>
    <t xml:space="preserve">https://www.enforcementtracker.com/ETid-1572</t>
  </si>
  <si>
    <t xml:space="preserve">ETid-1903</t>
  </si>
  <si>
    <t xml:space="preserve">https://www.enforcementtracker.com/ETid-1903</t>
  </si>
  <si>
    <t xml:space="preserve">ETid-1984</t>
  </si>
  <si>
    <t xml:space="preserve">https://www.enforcementtracker.com/ETid-1984</t>
  </si>
  <si>
    <t xml:space="preserve">ETid-1985</t>
  </si>
  <si>
    <t xml:space="preserve">https://www.enforcementtracker.com/ETid-1985</t>
  </si>
  <si>
    <t xml:space="preserve">ETid-849</t>
  </si>
  <si>
    <t xml:space="preserve">https://www.enforcementtracker.com/ETid-849</t>
  </si>
  <si>
    <t xml:space="preserve">ETid-850</t>
  </si>
  <si>
    <t xml:space="preserve">https://www.enforcementtracker.com/ETid-850</t>
  </si>
  <si>
    <t xml:space="preserve">ETid-852</t>
  </si>
  <si>
    <t xml:space="preserve">https://www.enforcementtracker.com/ETid-852</t>
  </si>
  <si>
    <t xml:space="preserve">ETid-853</t>
  </si>
  <si>
    <t xml:space="preserve">https://www.enforcementtracker.com/ETid-853</t>
  </si>
  <si>
    <t xml:space="preserve">ETid-506</t>
  </si>
  <si>
    <t xml:space="preserve">https://www.enforcementtracker.com/ETid-506</t>
  </si>
  <si>
    <t xml:space="preserve">ETid-195</t>
  </si>
  <si>
    <t xml:space="preserve">https://www.enforcementtracker.com/ETid-195</t>
  </si>
  <si>
    <t xml:space="preserve">ETid-340</t>
  </si>
  <si>
    <t xml:space="preserve">https://www.enforcementtracker.com/ETid-340</t>
  </si>
  <si>
    <t xml:space="preserve">ETid-1455</t>
  </si>
  <si>
    <t xml:space="preserve">Art. 13</t>
  </si>
  <si>
    <t xml:space="preserve">https://www.enforcementtracker.com/ETid-1455</t>
  </si>
  <si>
    <t xml:space="preserve">ETid-1766</t>
  </si>
  <si>
    <t xml:space="preserve">Art. 5, Art. 33, Art. 34</t>
  </si>
  <si>
    <t xml:space="preserve">https://www.enforcementtracker.com/ETid-1766</t>
  </si>
  <si>
    <t xml:space="preserve">ETid-171</t>
  </si>
  <si>
    <t xml:space="preserve">https://www.enforcementtracker.com/ETid-171</t>
  </si>
  <si>
    <t xml:space="preserve">ETid-2124</t>
  </si>
  <si>
    <t xml:space="preserve">https://www.enforcementtracker.com/ETid-2124</t>
  </si>
  <si>
    <t xml:space="preserve">ETid-613</t>
  </si>
  <si>
    <t xml:space="preserve">https://www.enforcementtracker.com/ETid-613</t>
  </si>
  <si>
    <t xml:space="preserve">ETid-1179</t>
  </si>
  <si>
    <t xml:space="preserve">https://www.enforcementtracker.com/ETid-1179</t>
  </si>
  <si>
    <t xml:space="preserve">ETid-444</t>
  </si>
  <si>
    <t xml:space="preserve">https://www.enforcementtracker.com/ETid-444</t>
  </si>
  <si>
    <t xml:space="preserve">ETid-446</t>
  </si>
  <si>
    <t xml:space="preserve">https://www.enforcementtracker.com/ETid-446</t>
  </si>
  <si>
    <t xml:space="preserve">ETid-776</t>
  </si>
  <si>
    <t xml:space="preserve">Art. 14, Art. 28</t>
  </si>
  <si>
    <t xml:space="preserve">https://www.enforcementtracker.com/ETid-776</t>
  </si>
  <si>
    <t xml:space="preserve">ETid-222</t>
  </si>
  <si>
    <t xml:space="preserve">https://www.enforcementtracker.com/ETid-222</t>
  </si>
  <si>
    <t xml:space="preserve">ETid-845</t>
  </si>
  <si>
    <t xml:space="preserve">https://www.enforcementtracker.com/ETid-845</t>
  </si>
  <si>
    <t xml:space="preserve">ETid-870</t>
  </si>
  <si>
    <t xml:space="preserve">https://www.enforcementtracker.com/ETid-870</t>
  </si>
  <si>
    <t xml:space="preserve">ETid-881</t>
  </si>
  <si>
    <t xml:space="preserve">https://www.enforcementtracker.com/ETid-881</t>
  </si>
  <si>
    <t xml:space="preserve">ETid-935</t>
  </si>
  <si>
    <t xml:space="preserve">https://www.enforcementtracker.com/ETid-935</t>
  </si>
  <si>
    <t xml:space="preserve">ETid-936</t>
  </si>
  <si>
    <t xml:space="preserve">https://www.enforcementtracker.com/ETid-936</t>
  </si>
  <si>
    <t xml:space="preserve">ETid-135</t>
  </si>
  <si>
    <t xml:space="preserve">https://www.enforcementtracker.com/ETid-135</t>
  </si>
  <si>
    <t xml:space="preserve">ETid-1765</t>
  </si>
  <si>
    <t xml:space="preserve">Art. 5, Art. 6, Art. 13</t>
  </si>
  <si>
    <t xml:space="preserve">https://www.enforcementtracker.com/ETid-1765</t>
  </si>
  <si>
    <t xml:space="preserve">ETid-3148</t>
  </si>
  <si>
    <t xml:space="preserve">Art. 5, Art. 6, Art. 7, Art. 24, Art. 28</t>
  </si>
  <si>
    <t xml:space="preserve">https://www.enforcementtracker.com/ETid-3148</t>
  </si>
  <si>
    <t xml:space="preserve">ETid-100</t>
  </si>
  <si>
    <t xml:space="preserve">https://www.enforcementtracker.com/ETid-100</t>
  </si>
  <si>
    <t xml:space="preserve">ETid-431</t>
  </si>
  <si>
    <t xml:space="preserve">https://www.enforcementtracker.com/ETid-431</t>
  </si>
  <si>
    <t xml:space="preserve">ETid-437</t>
  </si>
  <si>
    <t xml:space="preserve">https://www.enforcementtracker.com/ETid-437</t>
  </si>
  <si>
    <t xml:space="preserve">ETid-210</t>
  </si>
  <si>
    <t xml:space="preserve">https://www.enforcementtracker.com/ETid-210</t>
  </si>
  <si>
    <t xml:space="preserve">ETid-221</t>
  </si>
  <si>
    <t xml:space="preserve">https://www.enforcementtracker.com/ETid-221</t>
  </si>
  <si>
    <t xml:space="preserve">ETid-272</t>
  </si>
  <si>
    <t xml:space="preserve">Art. 31, Art. 58, Art. 37</t>
  </si>
  <si>
    <t xml:space="preserve">https://www.enforcementtracker.com/ETid-272</t>
  </si>
  <si>
    <t xml:space="preserve">ETid-1789</t>
  </si>
  <si>
    <t xml:space="preserve">https://www.enforcementtracker.com/ETid-1789</t>
  </si>
  <si>
    <t xml:space="preserve">ETid-1456</t>
  </si>
  <si>
    <t xml:space="preserve">https://www.enforcementtracker.com/ETid-1456</t>
  </si>
  <si>
    <t xml:space="preserve">ETid-435</t>
  </si>
  <si>
    <t xml:space="preserve">https://www.enforcementtracker.com/ETid-435</t>
  </si>
  <si>
    <t xml:space="preserve">ETid-1457</t>
  </si>
  <si>
    <t xml:space="preserve">https://www.enforcementtracker.com/ETid-1457</t>
  </si>
  <si>
    <t xml:space="preserve">ETid-2407</t>
  </si>
  <si>
    <t xml:space="preserve">https://www.enforcementtracker.com/ETid-2407</t>
  </si>
  <si>
    <t xml:space="preserve">ETid-275</t>
  </si>
  <si>
    <t xml:space="preserve">https://www.enforcementtracker.com/ETid-275</t>
  </si>
  <si>
    <t xml:space="preserve">ETid-49</t>
  </si>
  <si>
    <t xml:space="preserve">ETid-1168</t>
  </si>
  <si>
    <t xml:space="preserve">Art. 6, Art. 12, Art. 15</t>
  </si>
  <si>
    <t xml:space="preserve">https://www.enforcementtracker.com/ETid-1168</t>
  </si>
  <si>
    <t xml:space="preserve">ETid-976</t>
  </si>
  <si>
    <t xml:space="preserve">Art. 15</t>
  </si>
  <si>
    <t xml:space="preserve">https://www.enforcementtracker.com/ETid-976</t>
  </si>
  <si>
    <t xml:space="preserve">ETid-977</t>
  </si>
  <si>
    <t xml:space="preserve">Art. 5, Art. 17</t>
  </si>
  <si>
    <t xml:space="preserve">https://www.enforcementtracker.com/ETid-977</t>
  </si>
  <si>
    <t xml:space="preserve">ETid-134</t>
  </si>
  <si>
    <t xml:space="preserve">https://www.enforcementtracker.com/ETid-134</t>
  </si>
  <si>
    <t xml:space="preserve">ETid-2379</t>
  </si>
  <si>
    <t xml:space="preserve">https://www.enforcementtracker.com/ETid-2379</t>
  </si>
  <si>
    <t xml:space="preserve">ETid-819</t>
  </si>
  <si>
    <t xml:space="preserve">https://www.enforcementtracker.com/ETid-819</t>
  </si>
  <si>
    <t xml:space="preserve">ETid-223</t>
  </si>
  <si>
    <t xml:space="preserve">https://www.enforcementtracker.com/ETid-223</t>
  </si>
  <si>
    <t xml:space="preserve">ETid-2260</t>
  </si>
  <si>
    <t xml:space="preserve">Santander Bank Polska S.A.</t>
  </si>
  <si>
    <t xml:space="preserve">https://www.enforcementtracker.com/ETid-2260</t>
  </si>
  <si>
    <t xml:space="preserve">ETid-2705</t>
  </si>
  <si>
    <t xml:space="preserve">https://www.enforcementtracker.com/ETid-2705</t>
  </si>
  <si>
    <t xml:space="preserve">ETid-3210</t>
  </si>
  <si>
    <t xml:space="preserve">https://www.enforcementtracker.com/ETid-3210</t>
  </si>
  <si>
    <t xml:space="preserve">ETid-2175</t>
  </si>
  <si>
    <t xml:space="preserve">https://www.enforcementtracker.com/ETid-2175</t>
  </si>
  <si>
    <t xml:space="preserve">ETid-130</t>
  </si>
  <si>
    <t xml:space="preserve">https://www.enforcementtracker.com/ETid-130</t>
  </si>
  <si>
    <t xml:space="preserve">ETid-754</t>
  </si>
  <si>
    <t xml:space="preserve">https://www.enforcementtracker.com/ETid-754</t>
  </si>
  <si>
    <t xml:space="preserve">ETid-2736</t>
  </si>
  <si>
    <t xml:space="preserve">https://www.enforcementtracker.com/ETid-2736</t>
  </si>
  <si>
    <t xml:space="preserve">ETid-2472</t>
  </si>
  <si>
    <t xml:space="preserve">https://www.enforcementtracker.com/ETid-2472</t>
  </si>
  <si>
    <t xml:space="preserve">ETid-2567</t>
  </si>
  <si>
    <t xml:space="preserve">https://www.enforcementtracker.com/ETid-2567</t>
  </si>
  <si>
    <t xml:space="preserve">ETid-1506</t>
  </si>
  <si>
    <t xml:space="preserve">Art. 7, Art. 12, Art. 13, Art. 14, Art. 15, Art. 21</t>
  </si>
  <si>
    <t xml:space="preserve">https://www.enforcementtracker.com/ETid-1506</t>
  </si>
  <si>
    <t xml:space="preserve">ETid-451</t>
  </si>
  <si>
    <t xml:space="preserve">Art. 12, Art. 15, Art. 17</t>
  </si>
  <si>
    <t xml:space="preserve">https://www.enforcementtracker.com/ETid-451</t>
  </si>
  <si>
    <t xml:space="preserve">ETid-1751</t>
  </si>
  <si>
    <t xml:space="preserve">Art. 6, Art. 15</t>
  </si>
  <si>
    <t xml:space="preserve">https://www.enforcementtracker.com/ETid-1751</t>
  </si>
  <si>
    <t xml:space="preserve">ETid-2138</t>
  </si>
  <si>
    <t xml:space="preserve">https://www.enforcementtracker.com/ETid-2138</t>
  </si>
  <si>
    <t xml:space="preserve">ETid-241</t>
  </si>
  <si>
    <t xml:space="preserve">https://www.enforcementtracker.com/ETid-241</t>
  </si>
  <si>
    <t xml:space="preserve">ETid-1369</t>
  </si>
  <si>
    <t xml:space="preserve">https://www.enforcementtracker.com/ETid-1369</t>
  </si>
  <si>
    <t xml:space="preserve">ETid-3141</t>
  </si>
  <si>
    <t xml:space="preserve">https://www.enforcementtracker.com/ETid-3141</t>
  </si>
  <si>
    <t xml:space="preserve">ETid-2700</t>
  </si>
  <si>
    <t xml:space="preserve">Art. 25</t>
  </si>
  <si>
    <t xml:space="preserve">https://www.enforcementtracker.com/ETid-2700</t>
  </si>
  <si>
    <t xml:space="preserve">ETid-1132</t>
  </si>
  <si>
    <t xml:space="preserve">https://www.enforcementtracker.com/ETid-1132</t>
  </si>
  <si>
    <t xml:space="preserve">ETid-1477</t>
  </si>
  <si>
    <t xml:space="preserve">https://www.enforcementtracker.com/ETid-1477</t>
  </si>
  <si>
    <t xml:space="preserve">ETid-266</t>
  </si>
  <si>
    <t xml:space="preserve">https://www.enforcementtracker.com/ETid-266</t>
  </si>
  <si>
    <t xml:space="preserve">ETid-330</t>
  </si>
  <si>
    <t xml:space="preserve">https://www.enforcementtracker.com/ETid-330</t>
  </si>
  <si>
    <t xml:space="preserve">ETid-355</t>
  </si>
  <si>
    <t xml:space="preserve">https://www.enforcementtracker.com/ETid-355</t>
  </si>
  <si>
    <t xml:space="preserve">ETid-215</t>
  </si>
  <si>
    <t xml:space="preserve">https://www.enforcementtracker.com/ETid-215</t>
  </si>
  <si>
    <t xml:space="preserve">ETid-132</t>
  </si>
  <si>
    <t xml:space="preserve">https://www.enforcementtracker.com/ETid-132</t>
  </si>
  <si>
    <t xml:space="preserve">ETid-2455</t>
  </si>
  <si>
    <t xml:space="preserve">https://www.enforcementtracker.com/ETid-2455</t>
  </si>
  <si>
    <t xml:space="preserve">ETid-898</t>
  </si>
  <si>
    <t xml:space="preserve">https://www.enforcementtracker.com/ETid-898</t>
  </si>
  <si>
    <t xml:space="preserve">ETid-312</t>
  </si>
  <si>
    <t xml:space="preserve">https://www.enforcementtracker.com/ETid-312</t>
  </si>
  <si>
    <t xml:space="preserve">ETid-301</t>
  </si>
  <si>
    <t xml:space="preserve">https://www.enforcementtracker.com/ETid-301</t>
  </si>
  <si>
    <t xml:space="preserve">ETid-544</t>
  </si>
  <si>
    <t xml:space="preserve">https://www.enforcementtracker.com/ETid-544</t>
  </si>
  <si>
    <t xml:space="preserve">ETid-584</t>
  </si>
  <si>
    <t xml:space="preserve">https://www.enforcementtracker.com/ETid-584</t>
  </si>
  <si>
    <t xml:space="preserve">ETid-1403</t>
  </si>
  <si>
    <t xml:space="preserve">https://www.enforcementtracker.com/ETid-1403</t>
  </si>
  <si>
    <t xml:space="preserve">ETid-290</t>
  </si>
  <si>
    <t xml:space="preserve">Art. 37</t>
  </si>
  <si>
    <t xml:space="preserve">https://www.enforcementtracker.com/ETid-290</t>
  </si>
  <si>
    <t xml:space="preserve">ETid-1478</t>
  </si>
  <si>
    <t xml:space="preserve">Art. 16</t>
  </si>
  <si>
    <t xml:space="preserve">https://www.enforcementtracker.com/ETid-1478</t>
  </si>
  <si>
    <t xml:space="preserve">ETid-1953</t>
  </si>
  <si>
    <t xml:space="preserve">https://www.enforcementtracker.com/ETid-1953</t>
  </si>
  <si>
    <t xml:space="preserve">ETid-968</t>
  </si>
  <si>
    <t xml:space="preserve">https://www.enforcementtracker.com/ETid-968</t>
  </si>
  <si>
    <t xml:space="preserve">ETid-209</t>
  </si>
  <si>
    <t xml:space="preserve">https://www.enforcementtracker.com/ETid-209</t>
  </si>
  <si>
    <t xml:space="preserve">ETid-2323</t>
  </si>
  <si>
    <t xml:space="preserve">TELEFÓNICA DE ESPAÑA, S.A.U.</t>
  </si>
  <si>
    <t xml:space="preserve">https://www.enforcementtracker.com/ETid-2323</t>
  </si>
  <si>
    <t xml:space="preserve">ETid-140</t>
  </si>
  <si>
    <t xml:space="preserve">Art. 6, Art. 58</t>
  </si>
  <si>
    <t xml:space="preserve">https://www.enforcementtracker.com/ETid-140</t>
  </si>
  <si>
    <t xml:space="preserve">ETid-2249</t>
  </si>
  <si>
    <t xml:space="preserve">BANCO BILBAO VIZCAYA  ARGENTARIA, S.A</t>
  </si>
  <si>
    <t xml:space="preserve">https://www.enforcementtracker.com/ETid-2249</t>
  </si>
  <si>
    <t xml:space="preserve">ETid-676</t>
  </si>
  <si>
    <t xml:space="preserve">Art. 6, Art. 21</t>
  </si>
  <si>
    <t xml:space="preserve">https://www.enforcementtracker.com/ETid-676</t>
  </si>
  <si>
    <t xml:space="preserve">ETid-156</t>
  </si>
  <si>
    <t xml:space="preserve">https://www.enforcementtracker.com/ETid-156</t>
  </si>
  <si>
    <t xml:space="preserve">ETid-1085</t>
  </si>
  <si>
    <t xml:space="preserve">Art. 34</t>
  </si>
  <si>
    <t xml:space="preserve">https://www.enforcementtracker.com/ETid-1085</t>
  </si>
  <si>
    <t xml:space="preserve">ETid-496</t>
  </si>
  <si>
    <t xml:space="preserve">https://www.enforcementtracker.com/ETid-496</t>
  </si>
  <si>
    <t xml:space="preserve">ETid-741</t>
  </si>
  <si>
    <t xml:space="preserve">https://www.enforcementtracker.com/ETid-741</t>
  </si>
  <si>
    <t xml:space="preserve">ETid-303</t>
  </si>
  <si>
    <t xml:space="preserve">https://www.enforcementtracker.com/ETid-303</t>
  </si>
  <si>
    <t xml:space="preserve">ETid-407</t>
  </si>
  <si>
    <t xml:space="preserve">Art. 5, Art. 6, Art. 9, Art. 32</t>
  </si>
  <si>
    <t xml:space="preserve">https://www.enforcementtracker.com/ETid-407</t>
  </si>
  <si>
    <t xml:space="preserve">ETid-346</t>
  </si>
  <si>
    <t xml:space="preserve">https://www.enforcementtracker.com/ETid-346</t>
  </si>
  <si>
    <t xml:space="preserve">ETid-825</t>
  </si>
  <si>
    <t xml:space="preserve">https://www.enforcementtracker.com/ETid-825</t>
  </si>
  <si>
    <t xml:space="preserve">ETid-46</t>
  </si>
  <si>
    <t xml:space="preserve">ETid-705</t>
  </si>
  <si>
    <t xml:space="preserve">https://www.enforcementtracker.com/ETid-705</t>
  </si>
  <si>
    <t xml:space="preserve">ETid-203</t>
  </si>
  <si>
    <t xml:space="preserve">https://www.enforcementtracker.com/ETid-203</t>
  </si>
  <si>
    <t xml:space="preserve">ETid-2297</t>
  </si>
  <si>
    <t xml:space="preserve">ALPHA BANK ROMANIA SA.</t>
  </si>
  <si>
    <t xml:space="preserve">Art. 29, Art. 32</t>
  </si>
  <si>
    <t xml:space="preserve">https://www.enforcementtracker.com/ETid-2297</t>
  </si>
  <si>
    <t xml:space="preserve">ETid-1685</t>
  </si>
  <si>
    <t xml:space="preserve">https://www.enforcementtracker.com/ETid-1685</t>
  </si>
  <si>
    <t xml:space="preserve">ETid-1904</t>
  </si>
  <si>
    <t xml:space="preserve">https://www.enforcementtracker.com/ETid-1904</t>
  </si>
  <si>
    <t xml:space="preserve">ETid-345</t>
  </si>
  <si>
    <t xml:space="preserve">Banco Bilbao Vizcaya Argentaria, SA</t>
  </si>
  <si>
    <t xml:space="preserve">https://www.enforcementtracker.com/ETid-345</t>
  </si>
  <si>
    <t xml:space="preserve">ETid-33</t>
  </si>
  <si>
    <t xml:space="preserve">https://www.enforcementtracker.com/ETid-33</t>
  </si>
  <si>
    <t xml:space="preserve">ETid-240</t>
  </si>
  <si>
    <t xml:space="preserve">https://www.enforcementtracker.com/ETid-240</t>
  </si>
  <si>
    <t xml:space="preserve">ETid-117</t>
  </si>
  <si>
    <t xml:space="preserve">Telefónica SA</t>
  </si>
  <si>
    <t xml:space="preserve">https://www.enforcementtracker.com/ETid-117</t>
  </si>
  <si>
    <t xml:space="preserve">ETid-172</t>
  </si>
  <si>
    <t xml:space="preserve">https://www.enforcementtracker.com/ETid-172</t>
  </si>
  <si>
    <t xml:space="preserve">ETid-697</t>
  </si>
  <si>
    <t xml:space="preserve">https://www.enforcementtracker.com/ETid-697</t>
  </si>
  <si>
    <t xml:space="preserve">ETid-326</t>
  </si>
  <si>
    <t xml:space="preserve">https://www.enforcementtracker.com/ETid-326</t>
  </si>
  <si>
    <t xml:space="preserve">ETid-1377</t>
  </si>
  <si>
    <t xml:space="preserve">https://www.enforcementtracker.com/ETid-1377</t>
  </si>
  <si>
    <t xml:space="preserve">ETid-6</t>
  </si>
  <si>
    <t xml:space="preserve">Bulgarian Commission for Personal Data Protection (KZLD)</t>
  </si>
  <si>
    <t xml:space="preserve">https://www.enforcementtracker.com/ETid-6</t>
  </si>
  <si>
    <t xml:space="preserve">ETid-8</t>
  </si>
  <si>
    <t xml:space="preserve">Art. 6, Art. 5</t>
  </si>
  <si>
    <t xml:space="preserve">https://www.enforcementtracker.com/ETid-8</t>
  </si>
  <si>
    <t xml:space="preserve">ETid-1101</t>
  </si>
  <si>
    <t xml:space="preserve">Art. 28, Art. 32</t>
  </si>
  <si>
    <t xml:space="preserve">https://www.enforcementtracker.com/ETid-1101</t>
  </si>
  <si>
    <t xml:space="preserve">ETid-94</t>
  </si>
  <si>
    <t xml:space="preserve">https://www.enforcementtracker.com/ETid-94</t>
  </si>
  <si>
    <t xml:space="preserve">ETid-906</t>
  </si>
  <si>
    <t xml:space="preserve">https://www.enforcementtracker.com/ETid-906</t>
  </si>
  <si>
    <t xml:space="preserve">ETid-497</t>
  </si>
  <si>
    <t xml:space="preserve">Iberdrola Clientes, SAU</t>
  </si>
  <si>
    <t xml:space="preserve">https://www.enforcementtracker.com/ETid-497</t>
  </si>
  <si>
    <t xml:space="preserve">ETid-291</t>
  </si>
  <si>
    <t xml:space="preserve">https://www.enforcementtracker.com/ETid-291</t>
  </si>
  <si>
    <t xml:space="preserve">ETid-372</t>
  </si>
  <si>
    <t xml:space="preserve">https://www.enforcementtracker.com/ETid-372</t>
  </si>
  <si>
    <t xml:space="preserve">ETid-310</t>
  </si>
  <si>
    <t xml:space="preserve">https://www.enforcementtracker.com/ETid-310</t>
  </si>
  <si>
    <t xml:space="preserve">ETid-262</t>
  </si>
  <si>
    <t xml:space="preserve">https://www.enforcementtracker.com/ETid-262</t>
  </si>
  <si>
    <t xml:space="preserve">ETid-409</t>
  </si>
  <si>
    <t xml:space="preserve">https://www.enforcementtracker.com/ETid-409</t>
  </si>
</sst>
</file>

<file path=xl/styles.xml><?xml version="1.0" encoding="utf-8"?>
<styleSheet xmlns="http://schemas.openxmlformats.org/spreadsheetml/2006/main">
  <numFmts count="4">
    <numFmt numFmtId="164" formatCode="General"/>
    <numFmt numFmtId="165" formatCode="#,##0"/>
    <numFmt numFmtId="166" formatCode="0.0000%"/>
    <numFmt numFmtId="167" formatCode="0.00\x"/>
  </numFmts>
  <fonts count="15">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sz val="10"/>
      <color rgb="FF242424"/>
      <name val="Arial"/>
      <family val="0"/>
      <charset val="1"/>
    </font>
    <font>
      <b val="true"/>
      <sz val="11"/>
      <color rgb="FF1F3864"/>
      <name val="Arial"/>
      <family val="0"/>
      <charset val="1"/>
    </font>
    <font>
      <b val="true"/>
      <sz val="13"/>
      <color rgb="FF1F3864"/>
      <name val="Arial"/>
      <family val="0"/>
      <charset val="1"/>
    </font>
    <font>
      <sz val="9"/>
      <color rgb="FF605E5C"/>
      <name val="Arial"/>
      <family val="0"/>
      <charset val="1"/>
    </font>
    <font>
      <b val="true"/>
      <sz val="9"/>
      <color rgb="FFFFFFFF"/>
      <name val="Arial"/>
      <family val="0"/>
      <charset val="1"/>
    </font>
    <font>
      <sz val="9"/>
      <color rgb="FF242424"/>
      <name val="Arial"/>
      <family val="0"/>
      <charset val="1"/>
    </font>
    <font>
      <sz val="9"/>
      <color rgb="FF0000FF"/>
      <name val="Arial"/>
      <family val="0"/>
      <charset val="1"/>
    </font>
    <font>
      <b val="true"/>
      <sz val="9"/>
      <color rgb="FF1F3864"/>
      <name val="Arial"/>
      <family val="0"/>
      <charset val="1"/>
    </font>
    <font>
      <i val="true"/>
      <sz val="9"/>
      <color rgb="FF242424"/>
      <name val="Arial"/>
      <family val="0"/>
      <charset val="1"/>
    </font>
    <font>
      <u val="single"/>
      <sz val="9"/>
      <color rgb="FF0563C1"/>
      <name val="Arial"/>
      <family val="0"/>
      <charset val="1"/>
    </font>
  </fonts>
  <fills count="6">
    <fill>
      <patternFill patternType="none"/>
    </fill>
    <fill>
      <patternFill patternType="gray125"/>
    </fill>
    <fill>
      <patternFill patternType="solid">
        <fgColor rgb="FF1F3864"/>
        <bgColor rgb="FF333399"/>
      </patternFill>
    </fill>
    <fill>
      <patternFill patternType="solid">
        <fgColor rgb="FFFDE9E3"/>
        <bgColor rgb="FFFFF2CC"/>
      </patternFill>
    </fill>
    <fill>
      <patternFill patternType="solid">
        <fgColor rgb="FFFFF2CC"/>
        <bgColor rgb="FFFDE9E3"/>
      </patternFill>
    </fill>
    <fill>
      <patternFill patternType="solid">
        <fgColor rgb="FFF2F2F2"/>
        <bgColor rgb="FFFDE9E3"/>
      </patternFill>
    </fill>
  </fills>
  <borders count="2">
    <border diagonalUp="false" diagonalDown="false">
      <left/>
      <right/>
      <top/>
      <bottom/>
      <diagonal/>
    </border>
    <border diagonalUp="false" diagonalDown="false">
      <left/>
      <right/>
      <top/>
      <bottom style="thin">
        <color rgb="FFD0CE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5" fontId="10" fillId="0"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5" fontId="11" fillId="0" borderId="1" xfId="0" applyFont="true" applyBorder="true" applyAlignment="true" applyProtection="false">
      <alignment horizontal="general" vertical="top" textRotation="0" wrapText="false" indent="0" shrinkToFit="false"/>
      <protection locked="true" hidden="false"/>
    </xf>
    <xf numFmtId="166" fontId="10" fillId="0" borderId="1" xfId="0" applyFont="true" applyBorder="true" applyAlignment="true" applyProtection="false">
      <alignment horizontal="general" vertical="top" textRotation="0" wrapText="false" indent="0" shrinkToFit="false"/>
      <protection locked="true" hidden="false"/>
    </xf>
    <xf numFmtId="165" fontId="10" fillId="4" borderId="1" xfId="0" applyFont="true" applyBorder="true" applyAlignment="true" applyProtection="false">
      <alignment horizontal="general" vertical="top" textRotation="0" wrapText="false" indent="0" shrinkToFit="false"/>
      <protection locked="true" hidden="false"/>
    </xf>
    <xf numFmtId="164" fontId="10" fillId="4" borderId="1" xfId="0" applyFont="true" applyBorder="true" applyAlignment="true" applyProtection="false">
      <alignment horizontal="general" vertical="top" textRotation="0" wrapText="false" indent="0" shrinkToFit="false"/>
      <protection locked="true" hidden="false"/>
    </xf>
    <xf numFmtId="167" fontId="10"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3" fillId="4"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general" vertical="top" textRotation="0" wrapText="false" indent="0" shrinkToFit="false"/>
      <protection locked="true" hidden="false"/>
    </xf>
    <xf numFmtId="165" fontId="10" fillId="5" borderId="1" xfId="0" applyFont="true" applyBorder="true" applyAlignment="true" applyProtection="false">
      <alignment horizontal="general" vertical="top" textRotation="0" wrapText="false" indent="0" shrinkToFit="false"/>
      <protection locked="true" hidden="false"/>
    </xf>
    <xf numFmtId="166" fontId="10" fillId="5" borderId="1" xfId="0" applyFont="true" applyBorder="true" applyAlignment="true" applyProtection="false">
      <alignment horizontal="general" vertical="top" textRotation="0" wrapText="false" indent="0" shrinkToFit="false"/>
      <protection locked="true" hidden="false"/>
    </xf>
    <xf numFmtId="164" fontId="14" fillId="5" borderId="1" xfId="0" applyFont="true" applyBorder="true" applyAlignment="true" applyProtection="false">
      <alignment horizontal="general" vertical="top" textRotation="0" wrapText="false" indent="0" shrinkToFit="false"/>
      <protection locked="true" hidden="false"/>
    </xf>
    <xf numFmtId="164" fontId="14"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242424"/>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FDE9E3"/>
          <bgColor rgb="FF000000"/>
        </patternFill>
      </fill>
    </dxf>
    <dxf>
      <fill>
        <patternFill patternType="solid">
          <fgColor rgb="FFFFF2CC"/>
          <bgColor rgb="FF000000"/>
        </patternFill>
      </fill>
    </dxf>
    <dxf>
      <fill>
        <patternFill patternType="solid">
          <fgColor rgb="FFF2F2F2"/>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2CC"/>
      <rgbColor rgb="FFF2F2F2"/>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DE9E3"/>
      <rgbColor rgb="FF99CCFF"/>
      <rgbColor rgb="FFFF99CC"/>
      <rgbColor rgb="FFCC99FF"/>
      <rgbColor rgb="FFFFCC99"/>
      <rgbColor rgb="FF3366FF"/>
      <rgbColor rgb="FF33CCCC"/>
      <rgbColor rgb="FF99CC00"/>
      <rgbColor rgb="FFFFCC00"/>
      <rgbColor rgb="FFFF9900"/>
      <rgbColor rgb="FFFF6600"/>
      <rgbColor rgb="FF605E5C"/>
      <rgbColor rgb="FF969696"/>
      <rgbColor rgb="FF1F3864"/>
      <rgbColor rgb="FF339966"/>
      <rgbColor rgb="FF003300"/>
      <rgbColor rgb="FF333300"/>
      <rgbColor rgb="FF993300"/>
      <rgbColor rgb="FF993366"/>
      <rgbColor rgb="FF333399"/>
      <rgbColor rgb="FF2424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www.enforcementtracker.com/ETid-1073" TargetMode="External"/><Relationship Id="rId2" Type="http://schemas.openxmlformats.org/officeDocument/2006/relationships/hyperlink" Target="https://www.enforcementtracker.com/ETid-1565" TargetMode="External"/><Relationship Id="rId3" Type="http://schemas.openxmlformats.org/officeDocument/2006/relationships/hyperlink" Target="https://www.enforcementtracker.com/ETid-22" TargetMode="External"/><Relationship Id="rId4" Type="http://schemas.openxmlformats.org/officeDocument/2006/relationships/hyperlink" Target="https://www.enforcementtracker.com/ETid-790" TargetMode="External"/><Relationship Id="rId5" Type="http://schemas.openxmlformats.org/officeDocument/2006/relationships/hyperlink" Target="https://www.enforcementtracker.com/ETid-950" TargetMode="External"/><Relationship Id="rId6" Type="http://schemas.openxmlformats.org/officeDocument/2006/relationships/hyperlink" Target="https://www.enforcementtracker.com/ETid-1145" TargetMode="External"/><Relationship Id="rId7" Type="http://schemas.openxmlformats.org/officeDocument/2006/relationships/hyperlink" Target="https://www.enforcementtracker.com/ETid-412" TargetMode="External"/><Relationship Id="rId8" Type="http://schemas.openxmlformats.org/officeDocument/2006/relationships/hyperlink" Target="https://www.enforcementtracker.com/ETid-743" TargetMode="External"/><Relationship Id="rId9" Type="http://schemas.openxmlformats.org/officeDocument/2006/relationships/hyperlink" Target="https://www.enforcementtracker.com/ETid-334" TargetMode="External"/><Relationship Id="rId10" Type="http://schemas.openxmlformats.org/officeDocument/2006/relationships/hyperlink" Target="https://www.enforcementtracker.com/ETid-494" TargetMode="External"/><Relationship Id="rId11" Type="http://schemas.openxmlformats.org/officeDocument/2006/relationships/hyperlink" Target="https://www.enforcementtracker.com/ETid-40" TargetMode="External"/><Relationship Id="rId12" Type="http://schemas.openxmlformats.org/officeDocument/2006/relationships/hyperlink" Target="https://www.enforcementtracker.com/ETid-3232" TargetMode="External"/><Relationship Id="rId13" Type="http://schemas.openxmlformats.org/officeDocument/2006/relationships/hyperlink" Target="https://www.enforcementtracker.com/ETid-62" TargetMode="External"/><Relationship Id="rId14" Type="http://schemas.openxmlformats.org/officeDocument/2006/relationships/hyperlink" Target="https://www.enforcementtracker.com/ETid-2584" TargetMode="External"/><Relationship Id="rId15" Type="http://schemas.openxmlformats.org/officeDocument/2006/relationships/hyperlink" Target="https://www.enforcementtracker.com/ETid-483" TargetMode="External"/><Relationship Id="rId16" Type="http://schemas.openxmlformats.org/officeDocument/2006/relationships/hyperlink" Target="https://www.enforcementtracker.com/ETid-2469" TargetMode="External"/><Relationship Id="rId17" Type="http://schemas.openxmlformats.org/officeDocument/2006/relationships/hyperlink" Target="https://www.enforcementtracker.com/ETid-734" TargetMode="External"/><Relationship Id="rId18" Type="http://schemas.openxmlformats.org/officeDocument/2006/relationships/hyperlink" Target="https://www.enforcementtracker.com/ETid-1160" TargetMode="External"/><Relationship Id="rId19" Type="http://schemas.openxmlformats.org/officeDocument/2006/relationships/hyperlink" Target="https://www.enforcementtracker.com/ETid-118" TargetMode="External"/><Relationship Id="rId20" Type="http://schemas.openxmlformats.org/officeDocument/2006/relationships/hyperlink" Target="https://www.enforcementtracker.com/ETid-64" TargetMode="External"/><Relationship Id="rId21" Type="http://schemas.openxmlformats.org/officeDocument/2006/relationships/hyperlink" Target="https://www.enforcementtracker.com/ETid-24" TargetMode="External"/><Relationship Id="rId22" Type="http://schemas.openxmlformats.org/officeDocument/2006/relationships/hyperlink" Target="https://www.enforcementtracker.com/ETid-511" TargetMode="External"/><Relationship Id="rId23" Type="http://schemas.openxmlformats.org/officeDocument/2006/relationships/hyperlink" Target="https://www.enforcementtracker.com/ETid-2032" TargetMode="External"/><Relationship Id="rId24" Type="http://schemas.openxmlformats.org/officeDocument/2006/relationships/hyperlink" Target="https://www.enforcementtracker.com/ETid-21" TargetMode="External"/><Relationship Id="rId25" Type="http://schemas.openxmlformats.org/officeDocument/2006/relationships/hyperlink" Target="https://www.enforcementtracker.com/ETid-2225" TargetMode="External"/><Relationship Id="rId26" Type="http://schemas.openxmlformats.org/officeDocument/2006/relationships/hyperlink" Target="https://www.enforcementtracker.com/ETid-792" TargetMode="External"/><Relationship Id="rId27" Type="http://schemas.openxmlformats.org/officeDocument/2006/relationships/hyperlink" Target="https://www.enforcementtracker.com/ETid-2506" TargetMode="External"/><Relationship Id="rId28" Type="http://schemas.openxmlformats.org/officeDocument/2006/relationships/hyperlink" Target="https://www.enforcementtracker.com/ETid-609" TargetMode="External"/><Relationship Id="rId29" Type="http://schemas.openxmlformats.org/officeDocument/2006/relationships/hyperlink" Target="https://www.enforcementtracker.com/ETid-440" TargetMode="External"/><Relationship Id="rId30" Type="http://schemas.openxmlformats.org/officeDocument/2006/relationships/hyperlink" Target="https://www.enforcementtracker.com/ETid-1785" TargetMode="External"/><Relationship Id="rId31" Type="http://schemas.openxmlformats.org/officeDocument/2006/relationships/hyperlink" Target="https://www.enforcementtracker.com/ETid-771" TargetMode="External"/><Relationship Id="rId32" Type="http://schemas.openxmlformats.org/officeDocument/2006/relationships/hyperlink" Target="https://www.enforcementtracker.com/ETid-2447" TargetMode="External"/><Relationship Id="rId33" Type="http://schemas.openxmlformats.org/officeDocument/2006/relationships/hyperlink" Target="https://www.enforcementtracker.com/ETid-532" TargetMode="External"/><Relationship Id="rId34" Type="http://schemas.openxmlformats.org/officeDocument/2006/relationships/hyperlink" Target="https://www.enforcementtracker.com/ETid-473" TargetMode="External"/><Relationship Id="rId35" Type="http://schemas.openxmlformats.org/officeDocument/2006/relationships/hyperlink" Target="https://www.enforcementtracker.com/ETid-620" TargetMode="External"/><Relationship Id="rId36" Type="http://schemas.openxmlformats.org/officeDocument/2006/relationships/hyperlink" Target="https://www.enforcementtracker.com/ETid-96" TargetMode="External"/><Relationship Id="rId37" Type="http://schemas.openxmlformats.org/officeDocument/2006/relationships/hyperlink" Target="https://www.enforcementtracker.com/ETid-344" TargetMode="External"/><Relationship Id="rId38" Type="http://schemas.openxmlformats.org/officeDocument/2006/relationships/hyperlink" Target="https://www.enforcementtracker.com/ETid-25" TargetMode="External"/><Relationship Id="rId39" Type="http://schemas.openxmlformats.org/officeDocument/2006/relationships/hyperlink" Target="https://www.enforcementtracker.com/ETid-79" TargetMode="External"/><Relationship Id="rId40" Type="http://schemas.openxmlformats.org/officeDocument/2006/relationships/hyperlink" Target="https://www.enforcementtracker.com/ETid-665" TargetMode="External"/><Relationship Id="rId41" Type="http://schemas.openxmlformats.org/officeDocument/2006/relationships/hyperlink" Target="https://www.enforcementtracker.com/ETid-820" TargetMode="External"/><Relationship Id="rId42" Type="http://schemas.openxmlformats.org/officeDocument/2006/relationships/hyperlink" Target="https://www.enforcementtracker.com/ETid-58" TargetMode="External"/><Relationship Id="rId43" Type="http://schemas.openxmlformats.org/officeDocument/2006/relationships/hyperlink" Target="https://www.enforcementtracker.com/ETid-871" TargetMode="External"/><Relationship Id="rId44" Type="http://schemas.openxmlformats.org/officeDocument/2006/relationships/hyperlink" Target="https://www.enforcementtracker.com/ETid-336" TargetMode="External"/><Relationship Id="rId45" Type="http://schemas.openxmlformats.org/officeDocument/2006/relationships/hyperlink" Target="https://www.enforcementtracker.com/ETid-884" TargetMode="External"/><Relationship Id="rId46" Type="http://schemas.openxmlformats.org/officeDocument/2006/relationships/hyperlink" Target="https://www.enforcementtracker.com/ETid-2993" TargetMode="External"/><Relationship Id="rId47" Type="http://schemas.openxmlformats.org/officeDocument/2006/relationships/hyperlink" Target="https://www.enforcementtracker.com/ETid-405" TargetMode="External"/><Relationship Id="rId48" Type="http://schemas.openxmlformats.org/officeDocument/2006/relationships/hyperlink" Target="https://www.enforcementtracker.com/ETid-361" TargetMode="External"/><Relationship Id="rId49" Type="http://schemas.openxmlformats.org/officeDocument/2006/relationships/hyperlink" Target="https://www.enforcementtracker.com/ETid-1678" TargetMode="External"/><Relationship Id="rId50" Type="http://schemas.openxmlformats.org/officeDocument/2006/relationships/hyperlink" Target="https://www.enforcementtracker.com/ETid-2863" TargetMode="External"/><Relationship Id="rId51" Type="http://schemas.openxmlformats.org/officeDocument/2006/relationships/hyperlink" Target="https://www.enforcementtracker.com/ETid-60" TargetMode="External"/><Relationship Id="rId52" Type="http://schemas.openxmlformats.org/officeDocument/2006/relationships/hyperlink" Target="https://www.enforcementtracker.com/ETid-1656" TargetMode="External"/><Relationship Id="rId53" Type="http://schemas.openxmlformats.org/officeDocument/2006/relationships/hyperlink" Target="https://www.enforcementtracker.com/ETid-872" TargetMode="External"/><Relationship Id="rId54" Type="http://schemas.openxmlformats.org/officeDocument/2006/relationships/hyperlink" Target="https://www.enforcementtracker.com/ETid-438" TargetMode="External"/><Relationship Id="rId55" Type="http://schemas.openxmlformats.org/officeDocument/2006/relationships/hyperlink" Target="https://www.enforcementtracker.com/ETid-594" TargetMode="External"/><Relationship Id="rId56" Type="http://schemas.openxmlformats.org/officeDocument/2006/relationships/hyperlink" Target="https://www.enforcementtracker.com/ETid-520" TargetMode="External"/><Relationship Id="rId57" Type="http://schemas.openxmlformats.org/officeDocument/2006/relationships/hyperlink" Target="https://www.enforcementtracker.com/ETid-306" TargetMode="External"/><Relationship Id="rId58" Type="http://schemas.openxmlformats.org/officeDocument/2006/relationships/hyperlink" Target="https://www.enforcementtracker.com/ETid-1024" TargetMode="External"/><Relationship Id="rId59" Type="http://schemas.openxmlformats.org/officeDocument/2006/relationships/hyperlink" Target="https://www.enforcementtracker.com/ETid-313" TargetMode="External"/><Relationship Id="rId60" Type="http://schemas.openxmlformats.org/officeDocument/2006/relationships/hyperlink" Target="https://www.enforcementtracker.com/ETid-509" TargetMode="External"/><Relationship Id="rId61" Type="http://schemas.openxmlformats.org/officeDocument/2006/relationships/hyperlink" Target="https://www.enforcementtracker.com/ETid-2540" TargetMode="External"/><Relationship Id="rId62" Type="http://schemas.openxmlformats.org/officeDocument/2006/relationships/hyperlink" Target="https://www.enforcementtracker.com/ETid-2994" TargetMode="External"/><Relationship Id="rId63" Type="http://schemas.openxmlformats.org/officeDocument/2006/relationships/hyperlink" Target="https://www.enforcementtracker.com/ETid-204" TargetMode="External"/><Relationship Id="rId64" Type="http://schemas.openxmlformats.org/officeDocument/2006/relationships/hyperlink" Target="https://www.enforcementtracker.com/ETid-189" TargetMode="External"/><Relationship Id="rId65" Type="http://schemas.openxmlformats.org/officeDocument/2006/relationships/hyperlink" Target="https://www.enforcementtracker.com/ETid-980" TargetMode="External"/><Relationship Id="rId66" Type="http://schemas.openxmlformats.org/officeDocument/2006/relationships/hyperlink" Target="https://www.enforcementtracker.com/ETid-1436" TargetMode="External"/><Relationship Id="rId67" Type="http://schemas.openxmlformats.org/officeDocument/2006/relationships/hyperlink" Target="https://www.enforcementtracker.com/ETid-979" TargetMode="External"/><Relationship Id="rId68" Type="http://schemas.openxmlformats.org/officeDocument/2006/relationships/hyperlink" Target="https://www.enforcementtracker.com/ETid-113" TargetMode="External"/><Relationship Id="rId69" Type="http://schemas.openxmlformats.org/officeDocument/2006/relationships/hyperlink" Target="https://www.enforcementtracker.com/ETid-2862" TargetMode="External"/><Relationship Id="rId70" Type="http://schemas.openxmlformats.org/officeDocument/2006/relationships/hyperlink" Target="https://www.enforcementtracker.com/ETid-1055" TargetMode="External"/><Relationship Id="rId71" Type="http://schemas.openxmlformats.org/officeDocument/2006/relationships/hyperlink" Target="https://www.enforcementtracker.com/ETid-72" TargetMode="External"/><Relationship Id="rId72" Type="http://schemas.openxmlformats.org/officeDocument/2006/relationships/hyperlink" Target="https://www.enforcementtracker.com/ETid-877" TargetMode="External"/><Relationship Id="rId73" Type="http://schemas.openxmlformats.org/officeDocument/2006/relationships/hyperlink" Target="https://www.enforcementtracker.com/ETid-2077" TargetMode="External"/><Relationship Id="rId74" Type="http://schemas.openxmlformats.org/officeDocument/2006/relationships/hyperlink" Target="https://www.enforcementtracker.com/ETid-670" TargetMode="External"/><Relationship Id="rId75" Type="http://schemas.openxmlformats.org/officeDocument/2006/relationships/hyperlink" Target="https://www.enforcementtracker.com/ETid-1025" TargetMode="External"/><Relationship Id="rId76" Type="http://schemas.openxmlformats.org/officeDocument/2006/relationships/hyperlink" Target="https://www.enforcementtracker.com/ETid-519" TargetMode="External"/><Relationship Id="rId77" Type="http://schemas.openxmlformats.org/officeDocument/2006/relationships/hyperlink" Target="https://www.enforcementtracker.com/ETid-3102" TargetMode="External"/><Relationship Id="rId78" Type="http://schemas.openxmlformats.org/officeDocument/2006/relationships/hyperlink" Target="https://www.enforcementtracker.com/ETid-107" TargetMode="External"/><Relationship Id="rId79" Type="http://schemas.openxmlformats.org/officeDocument/2006/relationships/hyperlink" Target="https://www.enforcementtracker.com/ETid-737" TargetMode="External"/><Relationship Id="rId80" Type="http://schemas.openxmlformats.org/officeDocument/2006/relationships/hyperlink" Target="https://www.enforcementtracker.com/ETid-1730" TargetMode="External"/><Relationship Id="rId81" Type="http://schemas.openxmlformats.org/officeDocument/2006/relationships/hyperlink" Target="https://www.enforcementtracker.com/ETid-978" TargetMode="External"/><Relationship Id="rId82" Type="http://schemas.openxmlformats.org/officeDocument/2006/relationships/hyperlink" Target="https://www.enforcementtracker.com/ETid-1112" TargetMode="External"/><Relationship Id="rId83" Type="http://schemas.openxmlformats.org/officeDocument/2006/relationships/hyperlink" Target="https://www.enforcementtracker.com/ETid-2878" TargetMode="External"/><Relationship Id="rId84" Type="http://schemas.openxmlformats.org/officeDocument/2006/relationships/hyperlink" Target="https://www.enforcementtracker.com/ETid-2216" TargetMode="External"/><Relationship Id="rId85" Type="http://schemas.openxmlformats.org/officeDocument/2006/relationships/hyperlink" Target="https://www.enforcementtracker.com/ETid-1876" TargetMode="External"/><Relationship Id="rId86" Type="http://schemas.openxmlformats.org/officeDocument/2006/relationships/hyperlink" Target="https://www.enforcementtracker.com/ETid-1505" TargetMode="External"/><Relationship Id="rId87" Type="http://schemas.openxmlformats.org/officeDocument/2006/relationships/hyperlink" Target="https://www.enforcementtracker.com/ETid-2192" TargetMode="External"/><Relationship Id="rId88" Type="http://schemas.openxmlformats.org/officeDocument/2006/relationships/hyperlink" Target="https://www.enforcementtracker.com/ETid-751" TargetMode="External"/><Relationship Id="rId89" Type="http://schemas.openxmlformats.org/officeDocument/2006/relationships/hyperlink" Target="https://www.enforcementtracker.com/ETid-23" TargetMode="External"/><Relationship Id="rId90" Type="http://schemas.openxmlformats.org/officeDocument/2006/relationships/hyperlink" Target="https://www.enforcementtracker.com/ETid-1254" TargetMode="External"/><Relationship Id="rId91" Type="http://schemas.openxmlformats.org/officeDocument/2006/relationships/hyperlink" Target="https://www.enforcementtracker.com/ETid-331" TargetMode="External"/><Relationship Id="rId92" Type="http://schemas.openxmlformats.org/officeDocument/2006/relationships/hyperlink" Target="https://www.enforcementtracker.com/ETid-2199" TargetMode="External"/><Relationship Id="rId93" Type="http://schemas.openxmlformats.org/officeDocument/2006/relationships/hyperlink" Target="https://www.enforcementtracker.com/ETid-1871" TargetMode="External"/><Relationship Id="rId94" Type="http://schemas.openxmlformats.org/officeDocument/2006/relationships/hyperlink" Target="https://www.enforcementtracker.com/ETid-1089" TargetMode="External"/><Relationship Id="rId95" Type="http://schemas.openxmlformats.org/officeDocument/2006/relationships/hyperlink" Target="https://www.enforcementtracker.com/ETid-2526" TargetMode="External"/><Relationship Id="rId96" Type="http://schemas.openxmlformats.org/officeDocument/2006/relationships/hyperlink" Target="https://www.enforcementtracker.com/ETid-2562" TargetMode="External"/><Relationship Id="rId97" Type="http://schemas.openxmlformats.org/officeDocument/2006/relationships/hyperlink" Target="https://www.enforcementtracker.com/ETid-128" TargetMode="External"/><Relationship Id="rId98" Type="http://schemas.openxmlformats.org/officeDocument/2006/relationships/hyperlink" Target="https://www.enforcementtracker.com/ETid-2214" TargetMode="External"/><Relationship Id="rId99" Type="http://schemas.openxmlformats.org/officeDocument/2006/relationships/hyperlink" Target="https://www.enforcementtracker.com/ETid-2023" TargetMode="External"/><Relationship Id="rId100" Type="http://schemas.openxmlformats.org/officeDocument/2006/relationships/hyperlink" Target="https://www.enforcementtracker.com/ETid-1829" TargetMode="External"/><Relationship Id="rId101" Type="http://schemas.openxmlformats.org/officeDocument/2006/relationships/hyperlink" Target="https://www.enforcementtracker.com/ETid-3267" TargetMode="External"/><Relationship Id="rId102" Type="http://schemas.openxmlformats.org/officeDocument/2006/relationships/hyperlink" Target="https://www.enforcementtracker.com/ETid-1736" TargetMode="External"/><Relationship Id="rId103" Type="http://schemas.openxmlformats.org/officeDocument/2006/relationships/hyperlink" Target="https://www.enforcementtracker.com/ETid-71" TargetMode="External"/><Relationship Id="rId104" Type="http://schemas.openxmlformats.org/officeDocument/2006/relationships/hyperlink" Target="https://www.enforcementtracker.com/ETid-481" TargetMode="External"/><Relationship Id="rId105" Type="http://schemas.openxmlformats.org/officeDocument/2006/relationships/hyperlink" Target="https://www.enforcementtracker.com/ETid-2507" TargetMode="External"/><Relationship Id="rId106" Type="http://schemas.openxmlformats.org/officeDocument/2006/relationships/hyperlink" Target="https://www.enforcementtracker.com/ETid-2227" TargetMode="External"/><Relationship Id="rId107" Type="http://schemas.openxmlformats.org/officeDocument/2006/relationships/hyperlink" Target="https://www.enforcementtracker.com/ETid-485" TargetMode="External"/><Relationship Id="rId108" Type="http://schemas.openxmlformats.org/officeDocument/2006/relationships/hyperlink" Target="https://www.enforcementtracker.com/ETid-1856" TargetMode="External"/><Relationship Id="rId109" Type="http://schemas.openxmlformats.org/officeDocument/2006/relationships/hyperlink" Target="https://www.enforcementtracker.com/ETid-522" TargetMode="External"/><Relationship Id="rId110" Type="http://schemas.openxmlformats.org/officeDocument/2006/relationships/hyperlink" Target="https://www.enforcementtracker.com/ETid-15" TargetMode="External"/><Relationship Id="rId111" Type="http://schemas.openxmlformats.org/officeDocument/2006/relationships/hyperlink" Target="https://www.enforcementtracker.com/ETid-1058" TargetMode="External"/><Relationship Id="rId112" Type="http://schemas.openxmlformats.org/officeDocument/2006/relationships/hyperlink" Target="https://www.enforcementtracker.com/ETid-2189" TargetMode="External"/><Relationship Id="rId113" Type="http://schemas.openxmlformats.org/officeDocument/2006/relationships/hyperlink" Target="https://www.enforcementtracker.com/ETid-1578" TargetMode="External"/><Relationship Id="rId114" Type="http://schemas.openxmlformats.org/officeDocument/2006/relationships/hyperlink" Target="https://www.enforcementtracker.com/ETid-186" TargetMode="External"/><Relationship Id="rId115" Type="http://schemas.openxmlformats.org/officeDocument/2006/relationships/hyperlink" Target="https://www.enforcementtracker.com/ETid-1361" TargetMode="External"/><Relationship Id="rId116" Type="http://schemas.openxmlformats.org/officeDocument/2006/relationships/hyperlink" Target="https://www.enforcementtracker.com/ETid-554" TargetMode="External"/><Relationship Id="rId117" Type="http://schemas.openxmlformats.org/officeDocument/2006/relationships/hyperlink" Target="https://www.enforcementtracker.com/ETid-2278" TargetMode="External"/><Relationship Id="rId118" Type="http://schemas.openxmlformats.org/officeDocument/2006/relationships/hyperlink" Target="https://www.enforcementtracker.com/ETid-489" TargetMode="External"/><Relationship Id="rId119" Type="http://schemas.openxmlformats.org/officeDocument/2006/relationships/hyperlink" Target="https://www.enforcementtracker.com/ETid-671" TargetMode="External"/><Relationship Id="rId120" Type="http://schemas.openxmlformats.org/officeDocument/2006/relationships/hyperlink" Target="https://www.enforcementtracker.com/ETid-988" TargetMode="External"/><Relationship Id="rId121" Type="http://schemas.openxmlformats.org/officeDocument/2006/relationships/hyperlink" Target="https://www.enforcementtracker.com/ETid-504" TargetMode="External"/><Relationship Id="rId122" Type="http://schemas.openxmlformats.org/officeDocument/2006/relationships/hyperlink" Target="https://www.enforcementtracker.com/ETid-2682" TargetMode="External"/><Relationship Id="rId123" Type="http://schemas.openxmlformats.org/officeDocument/2006/relationships/hyperlink" Target="https://www.enforcementtracker.com/ETid-694" TargetMode="External"/><Relationship Id="rId124" Type="http://schemas.openxmlformats.org/officeDocument/2006/relationships/hyperlink" Target="https://www.enforcementtracker.com/ETid-777" TargetMode="External"/><Relationship Id="rId125" Type="http://schemas.openxmlformats.org/officeDocument/2006/relationships/hyperlink" Target="https://www.enforcementtracker.com/ETid-578" TargetMode="External"/><Relationship Id="rId126" Type="http://schemas.openxmlformats.org/officeDocument/2006/relationships/hyperlink" Target="https://www.enforcementtracker.com/ETid-2295" TargetMode="External"/><Relationship Id="rId127" Type="http://schemas.openxmlformats.org/officeDocument/2006/relationships/hyperlink" Target="https://www.enforcementtracker.com/ETid-570" TargetMode="External"/><Relationship Id="rId128" Type="http://schemas.openxmlformats.org/officeDocument/2006/relationships/hyperlink" Target="https://www.enforcementtracker.com/ETid-772" TargetMode="External"/><Relationship Id="rId129" Type="http://schemas.openxmlformats.org/officeDocument/2006/relationships/hyperlink" Target="https://www.enforcementtracker.com/ETid-1702" TargetMode="External"/><Relationship Id="rId130" Type="http://schemas.openxmlformats.org/officeDocument/2006/relationships/hyperlink" Target="https://www.enforcementtracker.com/ETid-1845" TargetMode="External"/><Relationship Id="rId131" Type="http://schemas.openxmlformats.org/officeDocument/2006/relationships/hyperlink" Target="https://www.enforcementtracker.com/ETid-278" TargetMode="External"/><Relationship Id="rId132" Type="http://schemas.openxmlformats.org/officeDocument/2006/relationships/hyperlink" Target="https://www.enforcementtracker.com/ETid-1921" TargetMode="External"/><Relationship Id="rId133" Type="http://schemas.openxmlformats.org/officeDocument/2006/relationships/hyperlink" Target="https://www.enforcementtracker.com/ETid-115" TargetMode="External"/><Relationship Id="rId134" Type="http://schemas.openxmlformats.org/officeDocument/2006/relationships/hyperlink" Target="https://www.enforcementtracker.com/ETid-1495" TargetMode="External"/><Relationship Id="rId135" Type="http://schemas.openxmlformats.org/officeDocument/2006/relationships/hyperlink" Target="https://www.enforcementtracker.com/ETid-125" TargetMode="External"/><Relationship Id="rId136" Type="http://schemas.openxmlformats.org/officeDocument/2006/relationships/hyperlink" Target="https://www.enforcementtracker.com/ETid-279" TargetMode="External"/><Relationship Id="rId137" Type="http://schemas.openxmlformats.org/officeDocument/2006/relationships/hyperlink" Target="https://www.enforcementtracker.com/ETid-593" TargetMode="External"/><Relationship Id="rId138" Type="http://schemas.openxmlformats.org/officeDocument/2006/relationships/hyperlink" Target="https://www.enforcementtracker.com/ETid-1176" TargetMode="External"/><Relationship Id="rId139" Type="http://schemas.openxmlformats.org/officeDocument/2006/relationships/hyperlink" Target="https://www.enforcementtracker.com/ETid-846" TargetMode="External"/><Relationship Id="rId140" Type="http://schemas.openxmlformats.org/officeDocument/2006/relationships/hyperlink" Target="https://www.enforcementtracker.com/ETid-85" TargetMode="External"/><Relationship Id="rId141" Type="http://schemas.openxmlformats.org/officeDocument/2006/relationships/hyperlink" Target="https://www.enforcementtracker.com/ETid-294" TargetMode="External"/><Relationship Id="rId142" Type="http://schemas.openxmlformats.org/officeDocument/2006/relationships/hyperlink" Target="https://www.enforcementtracker.com/ETid-2072" TargetMode="External"/><Relationship Id="rId143" Type="http://schemas.openxmlformats.org/officeDocument/2006/relationships/hyperlink" Target="https://www.enforcementtracker.com/ETid-365" TargetMode="External"/><Relationship Id="rId144" Type="http://schemas.openxmlformats.org/officeDocument/2006/relationships/hyperlink" Target="https://www.enforcementtracker.com/ETid-396" TargetMode="External"/><Relationship Id="rId145" Type="http://schemas.openxmlformats.org/officeDocument/2006/relationships/hyperlink" Target="https://www.enforcementtracker.com/ETid-1922" TargetMode="External"/><Relationship Id="rId146" Type="http://schemas.openxmlformats.org/officeDocument/2006/relationships/hyperlink" Target="https://www.enforcementtracker.com/ETid-1860" TargetMode="External"/><Relationship Id="rId147" Type="http://schemas.openxmlformats.org/officeDocument/2006/relationships/hyperlink" Target="https://www.enforcementtracker.com/ETid-311" TargetMode="External"/><Relationship Id="rId148" Type="http://schemas.openxmlformats.org/officeDocument/2006/relationships/hyperlink" Target="https://www.enforcementtracker.com/ETid-2564" TargetMode="External"/><Relationship Id="rId149" Type="http://schemas.openxmlformats.org/officeDocument/2006/relationships/hyperlink" Target="https://www.enforcementtracker.com/ETid-2565" TargetMode="External"/><Relationship Id="rId150" Type="http://schemas.openxmlformats.org/officeDocument/2006/relationships/hyperlink" Target="https://www.enforcementtracker.com/ETid-350" TargetMode="External"/><Relationship Id="rId151" Type="http://schemas.openxmlformats.org/officeDocument/2006/relationships/hyperlink" Target="https://www.enforcementtracker.com/ETid-2489" TargetMode="External"/><Relationship Id="rId152" Type="http://schemas.openxmlformats.org/officeDocument/2006/relationships/hyperlink" Target="https://www.enforcementtracker.com/ETid-2490" TargetMode="External"/><Relationship Id="rId153" Type="http://schemas.openxmlformats.org/officeDocument/2006/relationships/hyperlink" Target="https://www.enforcementtracker.com/ETid-2263" TargetMode="External"/><Relationship Id="rId154" Type="http://schemas.openxmlformats.org/officeDocument/2006/relationships/hyperlink" Target="https://www.enforcementtracker.com/ETid-2293" TargetMode="External"/><Relationship Id="rId155" Type="http://schemas.openxmlformats.org/officeDocument/2006/relationships/hyperlink" Target="https://www.enforcementtracker.com/ETid-2294" TargetMode="External"/><Relationship Id="rId156" Type="http://schemas.openxmlformats.org/officeDocument/2006/relationships/hyperlink" Target="https://www.enforcementtracker.com/ETid-2329" TargetMode="External"/><Relationship Id="rId157" Type="http://schemas.openxmlformats.org/officeDocument/2006/relationships/hyperlink" Target="https://www.enforcementtracker.com/ETid-2402" TargetMode="External"/><Relationship Id="rId158" Type="http://schemas.openxmlformats.org/officeDocument/2006/relationships/hyperlink" Target="https://www.enforcementtracker.com/ETid-174" TargetMode="External"/><Relationship Id="rId159" Type="http://schemas.openxmlformats.org/officeDocument/2006/relationships/hyperlink" Target="https://www.enforcementtracker.com/ETid-187" TargetMode="External"/><Relationship Id="rId160" Type="http://schemas.openxmlformats.org/officeDocument/2006/relationships/hyperlink" Target="https://www.enforcementtracker.com/ETid-382" TargetMode="External"/><Relationship Id="rId161" Type="http://schemas.openxmlformats.org/officeDocument/2006/relationships/hyperlink" Target="https://www.enforcementtracker.com/ETid-119" TargetMode="External"/><Relationship Id="rId162" Type="http://schemas.openxmlformats.org/officeDocument/2006/relationships/hyperlink" Target="https://www.enforcementtracker.com/ETid-192" TargetMode="External"/><Relationship Id="rId163" Type="http://schemas.openxmlformats.org/officeDocument/2006/relationships/hyperlink" Target="https://www.enforcementtracker.com/ETid-408" TargetMode="External"/><Relationship Id="rId164" Type="http://schemas.openxmlformats.org/officeDocument/2006/relationships/hyperlink" Target="https://www.enforcementtracker.com/ETid-93" TargetMode="External"/><Relationship Id="rId165" Type="http://schemas.openxmlformats.org/officeDocument/2006/relationships/hyperlink" Target="https://www.enforcementtracker.com/ETid-320" TargetMode="External"/><Relationship Id="rId166" Type="http://schemas.openxmlformats.org/officeDocument/2006/relationships/hyperlink" Target="https://www.enforcementtracker.com/ETid-2091" TargetMode="External"/><Relationship Id="rId167" Type="http://schemas.openxmlformats.org/officeDocument/2006/relationships/hyperlink" Target="https://www.enforcementtracker.com/ETid-994" TargetMode="External"/><Relationship Id="rId168" Type="http://schemas.openxmlformats.org/officeDocument/2006/relationships/hyperlink" Target="https://www.enforcementtracker.com/ETid-1440" TargetMode="External"/><Relationship Id="rId169" Type="http://schemas.openxmlformats.org/officeDocument/2006/relationships/hyperlink" Target="https://www.enforcementtracker.com/ETid-84" TargetMode="External"/><Relationship Id="rId170" Type="http://schemas.openxmlformats.org/officeDocument/2006/relationships/hyperlink" Target="https://www.enforcementtracker.com/ETid-1767" TargetMode="External"/><Relationship Id="rId171" Type="http://schemas.openxmlformats.org/officeDocument/2006/relationships/hyperlink" Target="https://www.enforcementtracker.com/ETid-908" TargetMode="External"/><Relationship Id="rId172" Type="http://schemas.openxmlformats.org/officeDocument/2006/relationships/hyperlink" Target="https://www.enforcementtracker.com/ETid-914" TargetMode="External"/><Relationship Id="rId173" Type="http://schemas.openxmlformats.org/officeDocument/2006/relationships/hyperlink" Target="https://www.enforcementtracker.com/ETid-1775" TargetMode="External"/><Relationship Id="rId174" Type="http://schemas.openxmlformats.org/officeDocument/2006/relationships/hyperlink" Target="https://www.enforcementtracker.com/ETid-888" TargetMode="External"/><Relationship Id="rId175" Type="http://schemas.openxmlformats.org/officeDocument/2006/relationships/hyperlink" Target="https://www.enforcementtracker.com/ETid-889" TargetMode="External"/><Relationship Id="rId176" Type="http://schemas.openxmlformats.org/officeDocument/2006/relationships/hyperlink" Target="https://www.enforcementtracker.com/ETid-343" TargetMode="External"/><Relationship Id="rId177" Type="http://schemas.openxmlformats.org/officeDocument/2006/relationships/hyperlink" Target="https://www.enforcementtracker.com/ETid-1503" TargetMode="External"/><Relationship Id="rId178" Type="http://schemas.openxmlformats.org/officeDocument/2006/relationships/hyperlink" Target="https://www.enforcementtracker.com/ETid-612" TargetMode="External"/><Relationship Id="rId179" Type="http://schemas.openxmlformats.org/officeDocument/2006/relationships/hyperlink" Target="https://www.enforcementtracker.com/ETid-559" TargetMode="External"/><Relationship Id="rId180" Type="http://schemas.openxmlformats.org/officeDocument/2006/relationships/hyperlink" Target="https://www.enforcementtracker.com/ETid-131" TargetMode="External"/><Relationship Id="rId181" Type="http://schemas.openxmlformats.org/officeDocument/2006/relationships/hyperlink" Target="https://www.enforcementtracker.com/ETid-341" TargetMode="External"/><Relationship Id="rId182" Type="http://schemas.openxmlformats.org/officeDocument/2006/relationships/hyperlink" Target="https://www.enforcementtracker.com/ETid-232" TargetMode="External"/><Relationship Id="rId183" Type="http://schemas.openxmlformats.org/officeDocument/2006/relationships/hyperlink" Target="https://www.enforcementtracker.com/ETid-1695" TargetMode="External"/><Relationship Id="rId184" Type="http://schemas.openxmlformats.org/officeDocument/2006/relationships/hyperlink" Target="https://www.enforcementtracker.com/ETid-770" TargetMode="External"/><Relationship Id="rId185" Type="http://schemas.openxmlformats.org/officeDocument/2006/relationships/hyperlink" Target="https://www.enforcementtracker.com/ETid-972" TargetMode="External"/><Relationship Id="rId186" Type="http://schemas.openxmlformats.org/officeDocument/2006/relationships/hyperlink" Target="https://www.enforcementtracker.com/ETid-1527" TargetMode="External"/><Relationship Id="rId187" Type="http://schemas.openxmlformats.org/officeDocument/2006/relationships/hyperlink" Target="https://www.enforcementtracker.com/ETid-188" TargetMode="External"/><Relationship Id="rId188" Type="http://schemas.openxmlformats.org/officeDocument/2006/relationships/hyperlink" Target="https://www.enforcementtracker.com/ETid-2508" TargetMode="External"/><Relationship Id="rId189" Type="http://schemas.openxmlformats.org/officeDocument/2006/relationships/hyperlink" Target="https://www.enforcementtracker.com/ETid-457" TargetMode="External"/><Relationship Id="rId190" Type="http://schemas.openxmlformats.org/officeDocument/2006/relationships/hyperlink" Target="https://www.enforcementtracker.com/ETid-3201" TargetMode="External"/><Relationship Id="rId191" Type="http://schemas.openxmlformats.org/officeDocument/2006/relationships/hyperlink" Target="https://www.enforcementtracker.com/ETid-214" TargetMode="External"/><Relationship Id="rId192" Type="http://schemas.openxmlformats.org/officeDocument/2006/relationships/hyperlink" Target="https://www.enforcementtracker.com/ETid-3106" TargetMode="External"/><Relationship Id="rId193" Type="http://schemas.openxmlformats.org/officeDocument/2006/relationships/hyperlink" Target="https://www.enforcementtracker.com/ETid-905" TargetMode="External"/><Relationship Id="rId194" Type="http://schemas.openxmlformats.org/officeDocument/2006/relationships/hyperlink" Target="https://www.enforcementtracker.com/ETid-477" TargetMode="External"/><Relationship Id="rId195" Type="http://schemas.openxmlformats.org/officeDocument/2006/relationships/hyperlink" Target="https://www.enforcementtracker.com/ETid-2536" TargetMode="External"/><Relationship Id="rId196" Type="http://schemas.openxmlformats.org/officeDocument/2006/relationships/hyperlink" Target="https://www.enforcementtracker.com/ETid-2286" TargetMode="External"/><Relationship Id="rId197" Type="http://schemas.openxmlformats.org/officeDocument/2006/relationships/hyperlink" Target="https://www.enforcementtracker.com/ETid-1773" TargetMode="External"/><Relationship Id="rId198" Type="http://schemas.openxmlformats.org/officeDocument/2006/relationships/hyperlink" Target="https://www.enforcementtracker.com/ETid-289" TargetMode="External"/><Relationship Id="rId199" Type="http://schemas.openxmlformats.org/officeDocument/2006/relationships/hyperlink" Target="https://www.enforcementtracker.com/ETid-1520" TargetMode="External"/><Relationship Id="rId200" Type="http://schemas.openxmlformats.org/officeDocument/2006/relationships/hyperlink" Target="https://www.enforcementtracker.com/ETid-2272" TargetMode="External"/><Relationship Id="rId201" Type="http://schemas.openxmlformats.org/officeDocument/2006/relationships/hyperlink" Target="https://www.enforcementtracker.com/ETid-1584" TargetMode="External"/><Relationship Id="rId202" Type="http://schemas.openxmlformats.org/officeDocument/2006/relationships/hyperlink" Target="https://www.enforcementtracker.com/ETid-2154" TargetMode="External"/><Relationship Id="rId203" Type="http://schemas.openxmlformats.org/officeDocument/2006/relationships/hyperlink" Target="https://www.enforcementtracker.com/ETid-811" TargetMode="External"/><Relationship Id="rId204" Type="http://schemas.openxmlformats.org/officeDocument/2006/relationships/hyperlink" Target="https://www.enforcementtracker.com/ETid-636" TargetMode="External"/><Relationship Id="rId205" Type="http://schemas.openxmlformats.org/officeDocument/2006/relationships/hyperlink" Target="https://www.enforcementtracker.com/ETid-211" TargetMode="External"/><Relationship Id="rId206" Type="http://schemas.openxmlformats.org/officeDocument/2006/relationships/hyperlink" Target="https://www.enforcementtracker.com/ETid-668" TargetMode="External"/><Relationship Id="rId207" Type="http://schemas.openxmlformats.org/officeDocument/2006/relationships/hyperlink" Target="https://www.enforcementtracker.com/ETid-78" TargetMode="External"/><Relationship Id="rId208" Type="http://schemas.openxmlformats.org/officeDocument/2006/relationships/hyperlink" Target="https://www.enforcementtracker.com/ETid-2026" TargetMode="External"/><Relationship Id="rId209" Type="http://schemas.openxmlformats.org/officeDocument/2006/relationships/hyperlink" Target="https://www.enforcementtracker.com/ETid-759" TargetMode="External"/><Relationship Id="rId210" Type="http://schemas.openxmlformats.org/officeDocument/2006/relationships/hyperlink" Target="https://www.enforcementtracker.com/ETid-193" TargetMode="External"/><Relationship Id="rId211" Type="http://schemas.openxmlformats.org/officeDocument/2006/relationships/hyperlink" Target="https://www.enforcementtracker.com/ETid-197" TargetMode="External"/><Relationship Id="rId212" Type="http://schemas.openxmlformats.org/officeDocument/2006/relationships/hyperlink" Target="https://www.enforcementtracker.com/ETid-263" TargetMode="External"/><Relationship Id="rId213" Type="http://schemas.openxmlformats.org/officeDocument/2006/relationships/hyperlink" Target="https://www.enforcementtracker.com/ETid-2728" TargetMode="External"/><Relationship Id="rId214" Type="http://schemas.openxmlformats.org/officeDocument/2006/relationships/hyperlink" Target="https://www.enforcementtracker.com/ETid-879" TargetMode="External"/><Relationship Id="rId215" Type="http://schemas.openxmlformats.org/officeDocument/2006/relationships/hyperlink" Target="https://www.enforcementtracker.com/ETid-541" TargetMode="External"/><Relationship Id="rId216" Type="http://schemas.openxmlformats.org/officeDocument/2006/relationships/hyperlink" Target="https://www.enforcementtracker.com/ETid-360" TargetMode="External"/><Relationship Id="rId217" Type="http://schemas.openxmlformats.org/officeDocument/2006/relationships/hyperlink" Target="https://www.enforcementtracker.com/ETid-886" TargetMode="External"/><Relationship Id="rId218" Type="http://schemas.openxmlformats.org/officeDocument/2006/relationships/hyperlink" Target="https://www.enforcementtracker.com/ETid-606" TargetMode="External"/><Relationship Id="rId219" Type="http://schemas.openxmlformats.org/officeDocument/2006/relationships/hyperlink" Target="https://www.enforcementtracker.com/ETid-152" TargetMode="External"/><Relationship Id="rId220" Type="http://schemas.openxmlformats.org/officeDocument/2006/relationships/hyperlink" Target="https://www.enforcementtracker.com/ETid-153" TargetMode="External"/><Relationship Id="rId221" Type="http://schemas.openxmlformats.org/officeDocument/2006/relationships/hyperlink" Target="https://www.enforcementtracker.com/ETid-194" TargetMode="External"/><Relationship Id="rId222" Type="http://schemas.openxmlformats.org/officeDocument/2006/relationships/hyperlink" Target="https://www.enforcementtracker.com/ETid-225" TargetMode="External"/><Relationship Id="rId223" Type="http://schemas.openxmlformats.org/officeDocument/2006/relationships/hyperlink" Target="https://www.enforcementtracker.com/ETid-605" TargetMode="External"/><Relationship Id="rId224" Type="http://schemas.openxmlformats.org/officeDocument/2006/relationships/hyperlink" Target="https://www.enforcementtracker.com/ETid-2503" TargetMode="External"/><Relationship Id="rId225" Type="http://schemas.openxmlformats.org/officeDocument/2006/relationships/hyperlink" Target="https://www.enforcementtracker.com/ETid-439" TargetMode="External"/><Relationship Id="rId226" Type="http://schemas.openxmlformats.org/officeDocument/2006/relationships/hyperlink" Target="https://www.enforcementtracker.com/ETid-1878" TargetMode="External"/><Relationship Id="rId227" Type="http://schemas.openxmlformats.org/officeDocument/2006/relationships/hyperlink" Target="https://www.enforcementtracker.com/ETid-2134" TargetMode="External"/><Relationship Id="rId228" Type="http://schemas.openxmlformats.org/officeDocument/2006/relationships/hyperlink" Target="https://www.enforcementtracker.com/ETid-997" TargetMode="External"/><Relationship Id="rId229" Type="http://schemas.openxmlformats.org/officeDocument/2006/relationships/hyperlink" Target="https://www.enforcementtracker.com/ETid-1260" TargetMode="External"/><Relationship Id="rId230" Type="http://schemas.openxmlformats.org/officeDocument/2006/relationships/hyperlink" Target="https://www.enforcementtracker.com/ETid-1480" TargetMode="External"/><Relationship Id="rId231" Type="http://schemas.openxmlformats.org/officeDocument/2006/relationships/hyperlink" Target="https://www.enforcementtracker.com/ETid-1525" TargetMode="External"/><Relationship Id="rId232" Type="http://schemas.openxmlformats.org/officeDocument/2006/relationships/hyperlink" Target="https://www.enforcementtracker.com/ETid-1529" TargetMode="External"/><Relationship Id="rId233" Type="http://schemas.openxmlformats.org/officeDocument/2006/relationships/hyperlink" Target="https://www.enforcementtracker.com/ETid-1530" TargetMode="External"/><Relationship Id="rId234" Type="http://schemas.openxmlformats.org/officeDocument/2006/relationships/hyperlink" Target="https://www.enforcementtracker.com/ETid-1572" TargetMode="External"/><Relationship Id="rId235" Type="http://schemas.openxmlformats.org/officeDocument/2006/relationships/hyperlink" Target="https://www.enforcementtracker.com/ETid-1903" TargetMode="External"/><Relationship Id="rId236" Type="http://schemas.openxmlformats.org/officeDocument/2006/relationships/hyperlink" Target="https://www.enforcementtracker.com/ETid-1984" TargetMode="External"/><Relationship Id="rId237" Type="http://schemas.openxmlformats.org/officeDocument/2006/relationships/hyperlink" Target="https://www.enforcementtracker.com/ETid-1985" TargetMode="External"/><Relationship Id="rId238" Type="http://schemas.openxmlformats.org/officeDocument/2006/relationships/hyperlink" Target="https://www.enforcementtracker.com/ETid-849" TargetMode="External"/><Relationship Id="rId239" Type="http://schemas.openxmlformats.org/officeDocument/2006/relationships/hyperlink" Target="https://www.enforcementtracker.com/ETid-850" TargetMode="External"/><Relationship Id="rId240" Type="http://schemas.openxmlformats.org/officeDocument/2006/relationships/hyperlink" Target="https://www.enforcementtracker.com/ETid-852" TargetMode="External"/><Relationship Id="rId241" Type="http://schemas.openxmlformats.org/officeDocument/2006/relationships/hyperlink" Target="https://www.enforcementtracker.com/ETid-853" TargetMode="External"/><Relationship Id="rId242" Type="http://schemas.openxmlformats.org/officeDocument/2006/relationships/hyperlink" Target="https://www.enforcementtracker.com/ETid-506" TargetMode="External"/><Relationship Id="rId243" Type="http://schemas.openxmlformats.org/officeDocument/2006/relationships/hyperlink" Target="https://www.enforcementtracker.com/ETid-195" TargetMode="External"/><Relationship Id="rId244" Type="http://schemas.openxmlformats.org/officeDocument/2006/relationships/hyperlink" Target="https://www.enforcementtracker.com/ETid-340" TargetMode="External"/><Relationship Id="rId245" Type="http://schemas.openxmlformats.org/officeDocument/2006/relationships/hyperlink" Target="https://www.enforcementtracker.com/ETid-1455" TargetMode="External"/><Relationship Id="rId246" Type="http://schemas.openxmlformats.org/officeDocument/2006/relationships/hyperlink" Target="https://www.enforcementtracker.com/ETid-1766" TargetMode="External"/><Relationship Id="rId247" Type="http://schemas.openxmlformats.org/officeDocument/2006/relationships/hyperlink" Target="https://www.enforcementtracker.com/ETid-171" TargetMode="External"/><Relationship Id="rId248" Type="http://schemas.openxmlformats.org/officeDocument/2006/relationships/hyperlink" Target="https://www.enforcementtracker.com/ETid-2124" TargetMode="External"/><Relationship Id="rId249" Type="http://schemas.openxmlformats.org/officeDocument/2006/relationships/hyperlink" Target="https://www.enforcementtracker.com/ETid-613" TargetMode="External"/><Relationship Id="rId250" Type="http://schemas.openxmlformats.org/officeDocument/2006/relationships/hyperlink" Target="https://www.enforcementtracker.com/ETid-1179" TargetMode="External"/><Relationship Id="rId251" Type="http://schemas.openxmlformats.org/officeDocument/2006/relationships/hyperlink" Target="https://www.enforcementtracker.com/ETid-444" TargetMode="External"/><Relationship Id="rId252" Type="http://schemas.openxmlformats.org/officeDocument/2006/relationships/hyperlink" Target="https://www.enforcementtracker.com/ETid-446" TargetMode="External"/><Relationship Id="rId253" Type="http://schemas.openxmlformats.org/officeDocument/2006/relationships/hyperlink" Target="https://www.enforcementtracker.com/ETid-776" TargetMode="External"/><Relationship Id="rId254" Type="http://schemas.openxmlformats.org/officeDocument/2006/relationships/hyperlink" Target="https://www.enforcementtracker.com/ETid-222" TargetMode="External"/><Relationship Id="rId255" Type="http://schemas.openxmlformats.org/officeDocument/2006/relationships/hyperlink" Target="https://www.enforcementtracker.com/ETid-845" TargetMode="External"/><Relationship Id="rId256" Type="http://schemas.openxmlformats.org/officeDocument/2006/relationships/hyperlink" Target="https://www.enforcementtracker.com/ETid-870" TargetMode="External"/><Relationship Id="rId257" Type="http://schemas.openxmlformats.org/officeDocument/2006/relationships/hyperlink" Target="https://www.enforcementtracker.com/ETid-881" TargetMode="External"/><Relationship Id="rId258" Type="http://schemas.openxmlformats.org/officeDocument/2006/relationships/hyperlink" Target="https://www.enforcementtracker.com/ETid-935" TargetMode="External"/><Relationship Id="rId259" Type="http://schemas.openxmlformats.org/officeDocument/2006/relationships/hyperlink" Target="https://www.enforcementtracker.com/ETid-936" TargetMode="External"/><Relationship Id="rId260" Type="http://schemas.openxmlformats.org/officeDocument/2006/relationships/hyperlink" Target="https://www.enforcementtracker.com/ETid-135" TargetMode="External"/><Relationship Id="rId261" Type="http://schemas.openxmlformats.org/officeDocument/2006/relationships/hyperlink" Target="https://www.enforcementtracker.com/ETid-1765" TargetMode="External"/><Relationship Id="rId262" Type="http://schemas.openxmlformats.org/officeDocument/2006/relationships/hyperlink" Target="https://www.enforcementtracker.com/ETid-3148" TargetMode="External"/><Relationship Id="rId263" Type="http://schemas.openxmlformats.org/officeDocument/2006/relationships/hyperlink" Target="https://www.enforcementtracker.com/ETid-100" TargetMode="External"/><Relationship Id="rId264" Type="http://schemas.openxmlformats.org/officeDocument/2006/relationships/hyperlink" Target="https://www.enforcementtracker.com/ETid-431" TargetMode="External"/><Relationship Id="rId265" Type="http://schemas.openxmlformats.org/officeDocument/2006/relationships/hyperlink" Target="https://www.enforcementtracker.com/ETid-437" TargetMode="External"/><Relationship Id="rId266" Type="http://schemas.openxmlformats.org/officeDocument/2006/relationships/hyperlink" Target="https://www.enforcementtracker.com/ETid-210" TargetMode="External"/><Relationship Id="rId267" Type="http://schemas.openxmlformats.org/officeDocument/2006/relationships/hyperlink" Target="https://www.enforcementtracker.com/ETid-221" TargetMode="External"/><Relationship Id="rId268" Type="http://schemas.openxmlformats.org/officeDocument/2006/relationships/hyperlink" Target="https://www.enforcementtracker.com/ETid-272" TargetMode="External"/><Relationship Id="rId269" Type="http://schemas.openxmlformats.org/officeDocument/2006/relationships/hyperlink" Target="https://www.enforcementtracker.com/ETid-1789" TargetMode="External"/><Relationship Id="rId270" Type="http://schemas.openxmlformats.org/officeDocument/2006/relationships/hyperlink" Target="https://www.enforcementtracker.com/ETid-1456" TargetMode="External"/><Relationship Id="rId271" Type="http://schemas.openxmlformats.org/officeDocument/2006/relationships/hyperlink" Target="https://www.enforcementtracker.com/ETid-435" TargetMode="External"/><Relationship Id="rId272" Type="http://schemas.openxmlformats.org/officeDocument/2006/relationships/hyperlink" Target="https://www.enforcementtracker.com/ETid-1457" TargetMode="External"/><Relationship Id="rId273" Type="http://schemas.openxmlformats.org/officeDocument/2006/relationships/hyperlink" Target="https://www.enforcementtracker.com/ETid-2407" TargetMode="External"/><Relationship Id="rId274" Type="http://schemas.openxmlformats.org/officeDocument/2006/relationships/hyperlink" Target="https://www.enforcementtracker.com/ETid-275" TargetMode="External"/><Relationship Id="rId275" Type="http://schemas.openxmlformats.org/officeDocument/2006/relationships/hyperlink" Target="https://www.enforcementtracker.com/ETid-1168" TargetMode="External"/><Relationship Id="rId276" Type="http://schemas.openxmlformats.org/officeDocument/2006/relationships/hyperlink" Target="https://www.enforcementtracker.com/ETid-976" TargetMode="External"/><Relationship Id="rId277" Type="http://schemas.openxmlformats.org/officeDocument/2006/relationships/hyperlink" Target="https://www.enforcementtracker.com/ETid-977" TargetMode="External"/><Relationship Id="rId278" Type="http://schemas.openxmlformats.org/officeDocument/2006/relationships/hyperlink" Target="https://www.enforcementtracker.com/ETid-134" TargetMode="External"/><Relationship Id="rId279" Type="http://schemas.openxmlformats.org/officeDocument/2006/relationships/hyperlink" Target="https://www.enforcementtracker.com/ETid-2379" TargetMode="External"/><Relationship Id="rId280" Type="http://schemas.openxmlformats.org/officeDocument/2006/relationships/hyperlink" Target="https://www.enforcementtracker.com/ETid-819" TargetMode="External"/><Relationship Id="rId281" Type="http://schemas.openxmlformats.org/officeDocument/2006/relationships/hyperlink" Target="https://www.enforcementtracker.com/ETid-223" TargetMode="External"/><Relationship Id="rId282" Type="http://schemas.openxmlformats.org/officeDocument/2006/relationships/hyperlink" Target="https://www.enforcementtracker.com/ETid-2260" TargetMode="External"/><Relationship Id="rId283" Type="http://schemas.openxmlformats.org/officeDocument/2006/relationships/hyperlink" Target="https://www.enforcementtracker.com/ETid-2705" TargetMode="External"/><Relationship Id="rId284" Type="http://schemas.openxmlformats.org/officeDocument/2006/relationships/hyperlink" Target="https://www.enforcementtracker.com/ETid-3210" TargetMode="External"/><Relationship Id="rId285" Type="http://schemas.openxmlformats.org/officeDocument/2006/relationships/hyperlink" Target="https://www.enforcementtracker.com/ETid-2175" TargetMode="External"/><Relationship Id="rId286" Type="http://schemas.openxmlformats.org/officeDocument/2006/relationships/hyperlink" Target="https://www.enforcementtracker.com/ETid-130" TargetMode="External"/><Relationship Id="rId287" Type="http://schemas.openxmlformats.org/officeDocument/2006/relationships/hyperlink" Target="https://www.enforcementtracker.com/ETid-754" TargetMode="External"/><Relationship Id="rId288" Type="http://schemas.openxmlformats.org/officeDocument/2006/relationships/hyperlink" Target="https://www.enforcementtracker.com/ETid-2736" TargetMode="External"/><Relationship Id="rId289" Type="http://schemas.openxmlformats.org/officeDocument/2006/relationships/hyperlink" Target="https://www.enforcementtracker.com/ETid-2472" TargetMode="External"/><Relationship Id="rId290" Type="http://schemas.openxmlformats.org/officeDocument/2006/relationships/hyperlink" Target="https://www.enforcementtracker.com/ETid-2567" TargetMode="External"/><Relationship Id="rId291" Type="http://schemas.openxmlformats.org/officeDocument/2006/relationships/hyperlink" Target="https://www.enforcementtracker.com/ETid-1506" TargetMode="External"/><Relationship Id="rId292" Type="http://schemas.openxmlformats.org/officeDocument/2006/relationships/hyperlink" Target="https://www.enforcementtracker.com/ETid-451" TargetMode="External"/><Relationship Id="rId293" Type="http://schemas.openxmlformats.org/officeDocument/2006/relationships/hyperlink" Target="https://www.enforcementtracker.com/ETid-1751" TargetMode="External"/><Relationship Id="rId294" Type="http://schemas.openxmlformats.org/officeDocument/2006/relationships/hyperlink" Target="https://www.enforcementtracker.com/ETid-2138" TargetMode="External"/><Relationship Id="rId295" Type="http://schemas.openxmlformats.org/officeDocument/2006/relationships/hyperlink" Target="https://www.enforcementtracker.com/ETid-241" TargetMode="External"/><Relationship Id="rId296" Type="http://schemas.openxmlformats.org/officeDocument/2006/relationships/hyperlink" Target="https://www.enforcementtracker.com/ETid-1369" TargetMode="External"/><Relationship Id="rId297" Type="http://schemas.openxmlformats.org/officeDocument/2006/relationships/hyperlink" Target="https://www.enforcementtracker.com/ETid-3141" TargetMode="External"/><Relationship Id="rId298" Type="http://schemas.openxmlformats.org/officeDocument/2006/relationships/hyperlink" Target="https://www.enforcementtracker.com/ETid-2700" TargetMode="External"/><Relationship Id="rId299" Type="http://schemas.openxmlformats.org/officeDocument/2006/relationships/hyperlink" Target="https://www.enforcementtracker.com/ETid-1132" TargetMode="External"/><Relationship Id="rId300" Type="http://schemas.openxmlformats.org/officeDocument/2006/relationships/hyperlink" Target="https://www.enforcementtracker.com/ETid-1477" TargetMode="External"/><Relationship Id="rId301" Type="http://schemas.openxmlformats.org/officeDocument/2006/relationships/hyperlink" Target="https://www.enforcementtracker.com/ETid-266" TargetMode="External"/><Relationship Id="rId302" Type="http://schemas.openxmlformats.org/officeDocument/2006/relationships/hyperlink" Target="https://www.enforcementtracker.com/ETid-330" TargetMode="External"/><Relationship Id="rId303" Type="http://schemas.openxmlformats.org/officeDocument/2006/relationships/hyperlink" Target="https://www.enforcementtracker.com/ETid-355" TargetMode="External"/><Relationship Id="rId304" Type="http://schemas.openxmlformats.org/officeDocument/2006/relationships/hyperlink" Target="https://www.enforcementtracker.com/ETid-215" TargetMode="External"/><Relationship Id="rId305" Type="http://schemas.openxmlformats.org/officeDocument/2006/relationships/hyperlink" Target="https://www.enforcementtracker.com/ETid-132" TargetMode="External"/><Relationship Id="rId306" Type="http://schemas.openxmlformats.org/officeDocument/2006/relationships/hyperlink" Target="https://www.enforcementtracker.com/ETid-2455" TargetMode="External"/><Relationship Id="rId307" Type="http://schemas.openxmlformats.org/officeDocument/2006/relationships/hyperlink" Target="https://www.enforcementtracker.com/ETid-898" TargetMode="External"/><Relationship Id="rId308" Type="http://schemas.openxmlformats.org/officeDocument/2006/relationships/hyperlink" Target="https://www.enforcementtracker.com/ETid-312" TargetMode="External"/><Relationship Id="rId309" Type="http://schemas.openxmlformats.org/officeDocument/2006/relationships/hyperlink" Target="https://www.enforcementtracker.com/ETid-301" TargetMode="External"/><Relationship Id="rId310" Type="http://schemas.openxmlformats.org/officeDocument/2006/relationships/hyperlink" Target="https://www.enforcementtracker.com/ETid-544" TargetMode="External"/><Relationship Id="rId311" Type="http://schemas.openxmlformats.org/officeDocument/2006/relationships/hyperlink" Target="https://www.enforcementtracker.com/ETid-584" TargetMode="External"/><Relationship Id="rId312" Type="http://schemas.openxmlformats.org/officeDocument/2006/relationships/hyperlink" Target="https://www.enforcementtracker.com/ETid-1403" TargetMode="External"/><Relationship Id="rId313" Type="http://schemas.openxmlformats.org/officeDocument/2006/relationships/hyperlink" Target="https://www.enforcementtracker.com/ETid-290" TargetMode="External"/><Relationship Id="rId314" Type="http://schemas.openxmlformats.org/officeDocument/2006/relationships/hyperlink" Target="https://www.enforcementtracker.com/ETid-1478" TargetMode="External"/><Relationship Id="rId315" Type="http://schemas.openxmlformats.org/officeDocument/2006/relationships/hyperlink" Target="https://www.enforcementtracker.com/ETid-1953" TargetMode="External"/><Relationship Id="rId316" Type="http://schemas.openxmlformats.org/officeDocument/2006/relationships/hyperlink" Target="https://www.enforcementtracker.com/ETid-968" TargetMode="External"/><Relationship Id="rId317" Type="http://schemas.openxmlformats.org/officeDocument/2006/relationships/hyperlink" Target="https://www.enforcementtracker.com/ETid-209" TargetMode="External"/><Relationship Id="rId318" Type="http://schemas.openxmlformats.org/officeDocument/2006/relationships/hyperlink" Target="https://www.enforcementtracker.com/ETid-2323" TargetMode="External"/><Relationship Id="rId319" Type="http://schemas.openxmlformats.org/officeDocument/2006/relationships/hyperlink" Target="https://www.enforcementtracker.com/ETid-140" TargetMode="External"/><Relationship Id="rId320" Type="http://schemas.openxmlformats.org/officeDocument/2006/relationships/hyperlink" Target="https://www.enforcementtracker.com/ETid-2249" TargetMode="External"/><Relationship Id="rId321" Type="http://schemas.openxmlformats.org/officeDocument/2006/relationships/hyperlink" Target="https://www.enforcementtracker.com/ETid-676" TargetMode="External"/><Relationship Id="rId322" Type="http://schemas.openxmlformats.org/officeDocument/2006/relationships/hyperlink" Target="https://www.enforcementtracker.com/ETid-156" TargetMode="External"/><Relationship Id="rId323" Type="http://schemas.openxmlformats.org/officeDocument/2006/relationships/hyperlink" Target="https://www.enforcementtracker.com/ETid-1085" TargetMode="External"/><Relationship Id="rId324" Type="http://schemas.openxmlformats.org/officeDocument/2006/relationships/hyperlink" Target="https://www.enforcementtracker.com/ETid-496" TargetMode="External"/><Relationship Id="rId325" Type="http://schemas.openxmlformats.org/officeDocument/2006/relationships/hyperlink" Target="https://www.enforcementtracker.com/ETid-741" TargetMode="External"/><Relationship Id="rId326" Type="http://schemas.openxmlformats.org/officeDocument/2006/relationships/hyperlink" Target="https://www.enforcementtracker.com/ETid-303" TargetMode="External"/><Relationship Id="rId327" Type="http://schemas.openxmlformats.org/officeDocument/2006/relationships/hyperlink" Target="https://www.enforcementtracker.com/ETid-407" TargetMode="External"/><Relationship Id="rId328" Type="http://schemas.openxmlformats.org/officeDocument/2006/relationships/hyperlink" Target="https://www.enforcementtracker.com/ETid-346" TargetMode="External"/><Relationship Id="rId329" Type="http://schemas.openxmlformats.org/officeDocument/2006/relationships/hyperlink" Target="https://www.enforcementtracker.com/ETid-825" TargetMode="External"/><Relationship Id="rId330" Type="http://schemas.openxmlformats.org/officeDocument/2006/relationships/hyperlink" Target="https://www.enforcementtracker.com/ETid-705" TargetMode="External"/><Relationship Id="rId331" Type="http://schemas.openxmlformats.org/officeDocument/2006/relationships/hyperlink" Target="https://www.enforcementtracker.com/ETid-203" TargetMode="External"/><Relationship Id="rId332" Type="http://schemas.openxmlformats.org/officeDocument/2006/relationships/hyperlink" Target="https://www.enforcementtracker.com/ETid-2297" TargetMode="External"/><Relationship Id="rId333" Type="http://schemas.openxmlformats.org/officeDocument/2006/relationships/hyperlink" Target="https://www.enforcementtracker.com/ETid-1685" TargetMode="External"/><Relationship Id="rId334" Type="http://schemas.openxmlformats.org/officeDocument/2006/relationships/hyperlink" Target="https://www.enforcementtracker.com/ETid-1904" TargetMode="External"/><Relationship Id="rId335" Type="http://schemas.openxmlformats.org/officeDocument/2006/relationships/hyperlink" Target="https://www.enforcementtracker.com/ETid-345" TargetMode="External"/><Relationship Id="rId336" Type="http://schemas.openxmlformats.org/officeDocument/2006/relationships/hyperlink" Target="https://www.enforcementtracker.com/ETid-33" TargetMode="External"/><Relationship Id="rId337" Type="http://schemas.openxmlformats.org/officeDocument/2006/relationships/hyperlink" Target="https://www.enforcementtracker.com/ETid-240" TargetMode="External"/><Relationship Id="rId338" Type="http://schemas.openxmlformats.org/officeDocument/2006/relationships/hyperlink" Target="https://www.enforcementtracker.com/ETid-117" TargetMode="External"/><Relationship Id="rId339" Type="http://schemas.openxmlformats.org/officeDocument/2006/relationships/hyperlink" Target="https://www.enforcementtracker.com/ETid-172" TargetMode="External"/><Relationship Id="rId340" Type="http://schemas.openxmlformats.org/officeDocument/2006/relationships/hyperlink" Target="https://www.enforcementtracker.com/ETid-697" TargetMode="External"/><Relationship Id="rId341" Type="http://schemas.openxmlformats.org/officeDocument/2006/relationships/hyperlink" Target="https://www.enforcementtracker.com/ETid-326" TargetMode="External"/><Relationship Id="rId342" Type="http://schemas.openxmlformats.org/officeDocument/2006/relationships/hyperlink" Target="https://www.enforcementtracker.com/ETid-1377" TargetMode="External"/><Relationship Id="rId343" Type="http://schemas.openxmlformats.org/officeDocument/2006/relationships/hyperlink" Target="https://www.enforcementtracker.com/ETid-6" TargetMode="External"/><Relationship Id="rId344" Type="http://schemas.openxmlformats.org/officeDocument/2006/relationships/hyperlink" Target="https://www.enforcementtracker.com/ETid-8" TargetMode="External"/><Relationship Id="rId345" Type="http://schemas.openxmlformats.org/officeDocument/2006/relationships/hyperlink" Target="https://www.enforcementtracker.com/ETid-1101" TargetMode="External"/><Relationship Id="rId346" Type="http://schemas.openxmlformats.org/officeDocument/2006/relationships/hyperlink" Target="https://www.enforcementtracker.com/ETid-94" TargetMode="External"/><Relationship Id="rId347" Type="http://schemas.openxmlformats.org/officeDocument/2006/relationships/hyperlink" Target="https://www.enforcementtracker.com/ETid-906" TargetMode="External"/><Relationship Id="rId348" Type="http://schemas.openxmlformats.org/officeDocument/2006/relationships/hyperlink" Target="https://www.enforcementtracker.com/ETid-497" TargetMode="External"/><Relationship Id="rId349" Type="http://schemas.openxmlformats.org/officeDocument/2006/relationships/hyperlink" Target="https://www.enforcementtracker.com/ETid-291" TargetMode="External"/><Relationship Id="rId350" Type="http://schemas.openxmlformats.org/officeDocument/2006/relationships/hyperlink" Target="https://www.enforcementtracker.com/ETid-372" TargetMode="External"/><Relationship Id="rId351" Type="http://schemas.openxmlformats.org/officeDocument/2006/relationships/hyperlink" Target="https://www.enforcementtracker.com/ETid-310" TargetMode="External"/><Relationship Id="rId352" Type="http://schemas.openxmlformats.org/officeDocument/2006/relationships/hyperlink" Target="https://www.enforcementtracker.com/ETid-262" TargetMode="External"/><Relationship Id="rId353" Type="http://schemas.openxmlformats.org/officeDocument/2006/relationships/hyperlink" Target="https://www.enforcementtracker.com/ETid-409" TargetMode="External"/><Relationship Id="rId354"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8.5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69.75" hidden="false" customHeight="true" outlineLevel="0" collapsed="false">
      <c r="A4" s="2" t="s">
        <v>2</v>
      </c>
    </row>
    <row r="5" customFormat="false" ht="15" hidden="false" customHeight="false" outlineLevel="0" collapsed="false">
      <c r="A5" s="2"/>
    </row>
    <row r="6" customFormat="false" ht="42" hidden="false" customHeight="true" outlineLevel="0" collapsed="false">
      <c r="A6" s="2" t="s">
        <v>3</v>
      </c>
    </row>
    <row r="7" customFormat="false" ht="15" hidden="false" customHeight="false" outlineLevel="0" collapsed="false">
      <c r="A7" s="2"/>
    </row>
    <row r="8" customFormat="false" ht="15" hidden="false" customHeight="false" outlineLevel="0" collapsed="false">
      <c r="A8" s="3" t="s">
        <v>4</v>
      </c>
    </row>
    <row r="9" customFormat="false" ht="42" hidden="false" customHeight="true" outlineLevel="0" collapsed="false">
      <c r="A9" s="2" t="s">
        <v>5</v>
      </c>
    </row>
    <row r="10" customFormat="false" ht="15" hidden="false" customHeight="false" outlineLevel="0" collapsed="false">
      <c r="A10" s="2"/>
    </row>
    <row r="11" customFormat="false" ht="42" hidden="false" customHeight="true" outlineLevel="0" collapsed="false">
      <c r="A11" s="2" t="s">
        <v>6</v>
      </c>
    </row>
    <row r="12" customFormat="false" ht="15" hidden="false" customHeight="false" outlineLevel="0" collapsed="false">
      <c r="A12" s="2"/>
    </row>
    <row r="13" customFormat="false" ht="15" hidden="false" customHeight="false" outlineLevel="0" collapsed="false">
      <c r="A13" s="3" t="s">
        <v>7</v>
      </c>
    </row>
    <row r="14" customFormat="false" ht="55.5" hidden="false" customHeight="true" outlineLevel="0" collapsed="false">
      <c r="A14" s="2" t="s">
        <v>8</v>
      </c>
    </row>
    <row r="15" customFormat="false" ht="15" hidden="false" customHeight="false" outlineLevel="0" collapsed="false">
      <c r="A15" s="2"/>
    </row>
    <row r="16" customFormat="false" ht="15" hidden="false" customHeight="false" outlineLevel="0" collapsed="false">
      <c r="A16" s="3" t="s">
        <v>9</v>
      </c>
    </row>
    <row r="17" customFormat="false" ht="15" hidden="false" customHeight="false" outlineLevel="0" collapsed="false">
      <c r="A17" s="2" t="s">
        <v>10</v>
      </c>
    </row>
    <row r="18" customFormat="false" ht="15" hidden="false" customHeight="false" outlineLevel="0" collapsed="false">
      <c r="A18" s="2" t="s">
        <v>11</v>
      </c>
    </row>
    <row r="19" customFormat="false" ht="42" hidden="false" customHeight="true" outlineLevel="0" collapsed="false">
      <c r="A19" s="2" t="s">
        <v>12</v>
      </c>
    </row>
    <row r="20" customFormat="false" ht="15" hidden="false" customHeight="false" outlineLevel="0" collapsed="false">
      <c r="A20" s="2"/>
    </row>
    <row r="21" customFormat="false" ht="15" hidden="false" customHeight="false" outlineLevel="0" collapsed="false">
      <c r="A21" s="3" t="s">
        <v>13</v>
      </c>
    </row>
    <row r="22" customFormat="false" ht="42" hidden="false" customHeight="true" outlineLevel="0" collapsed="false">
      <c r="A22" s="2" t="s">
        <v>14</v>
      </c>
    </row>
    <row r="23" customFormat="false" ht="15" hidden="false" customHeight="false" outlineLevel="0" collapsed="false">
      <c r="A23" s="2"/>
    </row>
    <row r="24" customFormat="false" ht="15" hidden="false" customHeight="false" outlineLevel="0" collapsed="false">
      <c r="A24" s="3" t="s">
        <v>15</v>
      </c>
    </row>
    <row r="25" customFormat="false" ht="42" hidden="false" customHeight="true" outlineLevel="0" collapsed="false">
      <c r="A25" s="2" t="s">
        <v>16</v>
      </c>
    </row>
    <row r="26" customFormat="false" ht="15" hidden="false" customHeight="false" outlineLevel="0" collapsed="false">
      <c r="A26" s="2"/>
    </row>
    <row r="27" customFormat="false" ht="15" hidden="false" customHeight="false" outlineLevel="0" collapsed="false">
      <c r="A27" s="3" t="s">
        <v>17</v>
      </c>
    </row>
    <row r="28" customFormat="false" ht="27.75" hidden="false" customHeight="true" outlineLevel="0" collapsed="false">
      <c r="A28" s="2"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7"/>
    <col collapsed="false" customWidth="true" hidden="false" outlineLevel="0" max="4" min="4" style="0" width="20"/>
    <col collapsed="false" customWidth="true" hidden="false" outlineLevel="0" max="5" min="5" style="0" width="12"/>
    <col collapsed="false" customWidth="true" hidden="false" outlineLevel="0" max="6" min="6" style="0" width="78"/>
    <col collapsed="false" customWidth="true" hidden="false" outlineLevel="0" max="7" min="7" style="0" width="18"/>
  </cols>
  <sheetData>
    <row r="1" customFormat="false" ht="16.15" hidden="false" customHeight="false" outlineLevel="0" collapsed="false">
      <c r="A1" s="4" t="s">
        <v>19</v>
      </c>
    </row>
    <row r="2" customFormat="false" ht="25.5" hidden="false" customHeight="true" outlineLevel="0" collapsed="false">
      <c r="A2" s="5" t="s">
        <v>20</v>
      </c>
    </row>
    <row r="4" customFormat="false" ht="30" hidden="false" customHeight="true" outlineLevel="0" collapsed="false">
      <c r="A4" s="6" t="s">
        <v>21</v>
      </c>
      <c r="B4" s="6" t="s">
        <v>22</v>
      </c>
      <c r="C4" s="6" t="s">
        <v>23</v>
      </c>
      <c r="D4" s="6" t="s">
        <v>24</v>
      </c>
      <c r="E4" s="6" t="s">
        <v>25</v>
      </c>
      <c r="F4" s="6" t="s">
        <v>26</v>
      </c>
      <c r="G4" s="6" t="s">
        <v>27</v>
      </c>
    </row>
    <row r="5" customFormat="false" ht="12.75" hidden="false" customHeight="true" outlineLevel="0" collapsed="false">
      <c r="A5" s="7" t="s">
        <v>28</v>
      </c>
      <c r="B5" s="7" t="s">
        <v>29</v>
      </c>
      <c r="C5" s="7" t="n">
        <v>63</v>
      </c>
      <c r="D5" s="8" t="n">
        <v>4166421000</v>
      </c>
      <c r="E5" s="7" t="s">
        <v>30</v>
      </c>
      <c r="F5" s="9" t="s">
        <v>31</v>
      </c>
      <c r="G5" s="7" t="n">
        <v>5</v>
      </c>
    </row>
    <row r="6" customFormat="false" ht="25.5" hidden="false" customHeight="true" outlineLevel="0" collapsed="false">
      <c r="A6" s="7" t="s">
        <v>32</v>
      </c>
      <c r="B6" s="7" t="s">
        <v>29</v>
      </c>
      <c r="C6" s="7" t="n">
        <v>17</v>
      </c>
      <c r="D6" s="8" t="n">
        <v>1451400000</v>
      </c>
      <c r="E6" s="7" t="s">
        <v>30</v>
      </c>
      <c r="F6" s="9" t="s">
        <v>33</v>
      </c>
      <c r="G6" s="7" t="n">
        <v>6</v>
      </c>
    </row>
    <row r="7" customFormat="false" ht="39" hidden="false" customHeight="true" outlineLevel="0" collapsed="false">
      <c r="A7" s="7" t="s">
        <v>34</v>
      </c>
      <c r="B7" s="7" t="s">
        <v>35</v>
      </c>
      <c r="C7" s="7" t="n">
        <v>11</v>
      </c>
      <c r="D7" s="8" t="n">
        <v>1051000000</v>
      </c>
      <c r="E7" s="7" t="s">
        <v>36</v>
      </c>
      <c r="F7" s="9" t="s">
        <v>37</v>
      </c>
      <c r="G7" s="7" t="n">
        <v>7</v>
      </c>
    </row>
    <row r="8" customFormat="false" ht="39" hidden="false" customHeight="true" outlineLevel="0" collapsed="false">
      <c r="A8" s="7" t="s">
        <v>38</v>
      </c>
      <c r="B8" s="7" t="s">
        <v>39</v>
      </c>
      <c r="C8" s="7" t="n">
        <v>10</v>
      </c>
      <c r="D8" s="8" t="n">
        <v>1878000000</v>
      </c>
      <c r="E8" s="7" t="s">
        <v>30</v>
      </c>
      <c r="F8" s="9" t="s">
        <v>40</v>
      </c>
      <c r="G8" s="7" t="n">
        <v>8</v>
      </c>
    </row>
    <row r="9" customFormat="false" ht="12.75" hidden="false" customHeight="true" outlineLevel="0" collapsed="false">
      <c r="A9" s="7" t="s">
        <v>41</v>
      </c>
      <c r="B9" s="7" t="s">
        <v>29</v>
      </c>
      <c r="C9" s="7" t="n">
        <v>6</v>
      </c>
      <c r="D9" s="8" t="n">
        <v>20000000000</v>
      </c>
      <c r="E9" s="7" t="s">
        <v>30</v>
      </c>
      <c r="F9" s="9" t="s">
        <v>42</v>
      </c>
      <c r="G9" s="7" t="n">
        <v>9</v>
      </c>
    </row>
    <row r="10" customFormat="false" ht="12.75" hidden="false" customHeight="true" outlineLevel="0" collapsed="false">
      <c r="A10" s="7" t="s">
        <v>43</v>
      </c>
      <c r="B10" s="7" t="s">
        <v>44</v>
      </c>
      <c r="C10" s="7" t="n">
        <v>5</v>
      </c>
      <c r="D10" s="8" t="n">
        <v>26240000000</v>
      </c>
      <c r="E10" s="7" t="s">
        <v>30</v>
      </c>
      <c r="F10" s="9" t="s">
        <v>45</v>
      </c>
      <c r="G10" s="7" t="n">
        <v>10</v>
      </c>
    </row>
    <row r="11" customFormat="false" ht="25.5" hidden="false" customHeight="true" outlineLevel="0" collapsed="false">
      <c r="A11" s="7" t="s">
        <v>46</v>
      </c>
      <c r="B11" s="7" t="s">
        <v>29</v>
      </c>
      <c r="C11" s="7" t="n">
        <v>5</v>
      </c>
      <c r="D11" s="8" t="n">
        <v>10000000000</v>
      </c>
      <c r="E11" s="7" t="s">
        <v>30</v>
      </c>
      <c r="F11" s="9" t="s">
        <v>47</v>
      </c>
      <c r="G11" s="7" t="n">
        <v>11</v>
      </c>
    </row>
    <row r="12" customFormat="false" ht="39" hidden="false" customHeight="true" outlineLevel="0" collapsed="false">
      <c r="A12" s="7" t="s">
        <v>48</v>
      </c>
      <c r="B12" s="7" t="s">
        <v>49</v>
      </c>
      <c r="C12" s="7" t="n">
        <v>3</v>
      </c>
      <c r="D12" s="8" t="n">
        <v>1051000000</v>
      </c>
      <c r="E12" s="7" t="s">
        <v>36</v>
      </c>
      <c r="F12" s="9" t="s">
        <v>50</v>
      </c>
      <c r="G12" s="7" t="n">
        <v>12</v>
      </c>
    </row>
    <row r="13" customFormat="false" ht="39" hidden="false" customHeight="true" outlineLevel="0" collapsed="false">
      <c r="A13" s="7" t="s">
        <v>51</v>
      </c>
      <c r="B13" s="7" t="s">
        <v>29</v>
      </c>
      <c r="C13" s="7" t="n">
        <v>3</v>
      </c>
      <c r="D13" s="8" t="n">
        <v>1051000000</v>
      </c>
      <c r="E13" s="7" t="s">
        <v>36</v>
      </c>
      <c r="F13" s="9" t="s">
        <v>52</v>
      </c>
      <c r="G13" s="7" t="n">
        <v>13</v>
      </c>
    </row>
    <row r="14" customFormat="false" ht="12.75" hidden="false" customHeight="true" outlineLevel="0" collapsed="false">
      <c r="A14" s="7" t="s">
        <v>53</v>
      </c>
      <c r="B14" s="7" t="s">
        <v>49</v>
      </c>
      <c r="C14" s="7" t="n">
        <v>2</v>
      </c>
      <c r="D14" s="8" t="n">
        <v>1861000000</v>
      </c>
      <c r="E14" s="7" t="s">
        <v>54</v>
      </c>
      <c r="F14" s="9" t="s">
        <v>55</v>
      </c>
      <c r="G14" s="7" t="n">
        <v>14</v>
      </c>
    </row>
    <row r="15" customFormat="false" ht="12.75" hidden="false" customHeight="true" outlineLevel="0" collapsed="false">
      <c r="A15" s="7" t="s">
        <v>56</v>
      </c>
      <c r="B15" s="7" t="s">
        <v>57</v>
      </c>
      <c r="C15" s="7" t="n">
        <v>2</v>
      </c>
      <c r="D15" s="8" t="n">
        <v>1451400000</v>
      </c>
      <c r="E15" s="7" t="s">
        <v>30</v>
      </c>
      <c r="F15" s="9" t="s">
        <v>58</v>
      </c>
      <c r="G15" s="7" t="n">
        <v>15</v>
      </c>
    </row>
    <row r="16" customFormat="false" ht="25.5" hidden="false" customHeight="true" outlineLevel="0" collapsed="false">
      <c r="A16" s="7" t="s">
        <v>59</v>
      </c>
      <c r="B16" s="7" t="s">
        <v>60</v>
      </c>
      <c r="C16" s="7" t="n">
        <v>2</v>
      </c>
      <c r="D16" s="8" t="n">
        <v>1051000000</v>
      </c>
      <c r="E16" s="7" t="s">
        <v>36</v>
      </c>
      <c r="F16" s="9" t="s">
        <v>61</v>
      </c>
      <c r="G16" s="7" t="n">
        <v>16</v>
      </c>
    </row>
    <row r="17" customFormat="false" ht="25.5" hidden="false" customHeight="true" outlineLevel="0" collapsed="false">
      <c r="A17" s="7" t="s">
        <v>62</v>
      </c>
      <c r="B17" s="7" t="s">
        <v>29</v>
      </c>
      <c r="C17" s="7" t="n">
        <v>2</v>
      </c>
      <c r="D17" s="8" t="n">
        <v>1051000000</v>
      </c>
      <c r="E17" s="7" t="s">
        <v>36</v>
      </c>
      <c r="F17" s="9" t="s">
        <v>63</v>
      </c>
      <c r="G17" s="7" t="n">
        <v>17</v>
      </c>
    </row>
    <row r="18" customFormat="false" ht="12.75" hidden="false" customHeight="true" outlineLevel="0" collapsed="false">
      <c r="A18" s="7" t="s">
        <v>64</v>
      </c>
      <c r="B18" s="7" t="s">
        <v>49</v>
      </c>
      <c r="C18" s="7" t="n">
        <v>2</v>
      </c>
      <c r="D18" s="8" t="n">
        <v>66000</v>
      </c>
      <c r="E18" s="7" t="s">
        <v>36</v>
      </c>
      <c r="F18" s="9" t="s">
        <v>65</v>
      </c>
      <c r="G18" s="7" t="n">
        <v>18</v>
      </c>
    </row>
    <row r="19" customFormat="false" ht="12.75" hidden="false" customHeight="true" outlineLevel="0" collapsed="false">
      <c r="A19" s="7" t="s">
        <v>66</v>
      </c>
      <c r="B19" s="7" t="s">
        <v>67</v>
      </c>
      <c r="C19" s="7" t="n">
        <v>1</v>
      </c>
      <c r="D19" s="8" t="n">
        <v>29648000000</v>
      </c>
      <c r="E19" s="7" t="s">
        <v>30</v>
      </c>
      <c r="F19" s="9" t="s">
        <v>68</v>
      </c>
      <c r="G19" s="7" t="n">
        <v>19</v>
      </c>
    </row>
    <row r="20" customFormat="false" ht="12.75" hidden="false" customHeight="true" outlineLevel="0" collapsed="false">
      <c r="A20" s="7" t="s">
        <v>69</v>
      </c>
      <c r="B20" s="7" t="s">
        <v>70</v>
      </c>
      <c r="C20" s="7" t="n">
        <v>1</v>
      </c>
      <c r="D20" s="8" t="n">
        <v>21390000000</v>
      </c>
      <c r="E20" s="7" t="s">
        <v>30</v>
      </c>
      <c r="F20" s="9" t="s">
        <v>71</v>
      </c>
      <c r="G20" s="7" t="n">
        <v>20</v>
      </c>
    </row>
    <row r="21" customFormat="false" ht="12.75" hidden="false" customHeight="true" outlineLevel="0" collapsed="false">
      <c r="A21" s="7" t="s">
        <v>72</v>
      </c>
      <c r="B21" s="7" t="s">
        <v>70</v>
      </c>
      <c r="C21" s="7" t="n">
        <v>1</v>
      </c>
      <c r="D21" s="8" t="n">
        <v>15224000000</v>
      </c>
      <c r="E21" s="7" t="s">
        <v>30</v>
      </c>
      <c r="F21" s="9" t="s">
        <v>73</v>
      </c>
      <c r="G21" s="7" t="n">
        <v>21</v>
      </c>
    </row>
    <row r="22" customFormat="false" ht="12.75" hidden="false" customHeight="true" outlineLevel="0" collapsed="false">
      <c r="A22" s="7" t="s">
        <v>74</v>
      </c>
      <c r="B22" s="7" t="s">
        <v>75</v>
      </c>
      <c r="C22" s="7" t="n">
        <v>1</v>
      </c>
      <c r="D22" s="8" t="n">
        <v>10000000000</v>
      </c>
      <c r="E22" s="7" t="s">
        <v>30</v>
      </c>
      <c r="F22" s="9" t="s">
        <v>76</v>
      </c>
      <c r="G22" s="7" t="n">
        <v>22</v>
      </c>
    </row>
    <row r="23" customFormat="false" ht="12.75" hidden="false" customHeight="true" outlineLevel="0" collapsed="false">
      <c r="A23" s="7" t="s">
        <v>77</v>
      </c>
      <c r="B23" s="7" t="s">
        <v>60</v>
      </c>
      <c r="C23" s="7" t="n">
        <v>1</v>
      </c>
      <c r="D23" s="8" t="n">
        <v>1861000000</v>
      </c>
      <c r="E23" s="7" t="s">
        <v>54</v>
      </c>
      <c r="F23" s="9" t="s">
        <v>78</v>
      </c>
      <c r="G23" s="7" t="n">
        <v>23</v>
      </c>
    </row>
    <row r="24" customFormat="false" ht="12.75" hidden="false" customHeight="true" outlineLevel="0" collapsed="false">
      <c r="A24" s="7" t="s">
        <v>79</v>
      </c>
      <c r="B24" s="7" t="s">
        <v>60</v>
      </c>
      <c r="C24" s="7" t="n">
        <v>1</v>
      </c>
      <c r="D24" s="8" t="n">
        <v>1861000000</v>
      </c>
      <c r="E24" s="7" t="s">
        <v>54</v>
      </c>
      <c r="F24" s="9" t="s">
        <v>80</v>
      </c>
      <c r="G24" s="7" t="n">
        <v>24</v>
      </c>
    </row>
    <row r="25" customFormat="false" ht="39" hidden="false" customHeight="true" outlineLevel="0" collapsed="false">
      <c r="A25" s="7" t="s">
        <v>81</v>
      </c>
      <c r="B25" s="7" t="s">
        <v>70</v>
      </c>
      <c r="C25" s="7" t="n">
        <v>1</v>
      </c>
      <c r="D25" s="8" t="n">
        <v>1051000000</v>
      </c>
      <c r="E25" s="7" t="s">
        <v>36</v>
      </c>
      <c r="F25" s="9" t="s">
        <v>82</v>
      </c>
      <c r="G25" s="7" t="n">
        <v>25</v>
      </c>
    </row>
    <row r="26" customFormat="false" ht="39" hidden="false" customHeight="true" outlineLevel="0" collapsed="false">
      <c r="A26" s="7" t="s">
        <v>83</v>
      </c>
      <c r="B26" s="7" t="s">
        <v>57</v>
      </c>
      <c r="C26" s="7" t="n">
        <v>1</v>
      </c>
      <c r="D26" s="8" t="n">
        <v>1051000000</v>
      </c>
      <c r="E26" s="7" t="s">
        <v>36</v>
      </c>
      <c r="F26" s="9" t="s">
        <v>84</v>
      </c>
      <c r="G26" s="7" t="n">
        <v>26</v>
      </c>
    </row>
    <row r="27" customFormat="false" ht="39" hidden="false" customHeight="true" outlineLevel="0" collapsed="false">
      <c r="A27" s="7" t="s">
        <v>85</v>
      </c>
      <c r="B27" s="7" t="s">
        <v>49</v>
      </c>
      <c r="C27" s="7" t="n">
        <v>1</v>
      </c>
      <c r="D27" s="8" t="n">
        <v>1051000000</v>
      </c>
      <c r="E27" s="7" t="s">
        <v>36</v>
      </c>
      <c r="F27" s="9" t="s">
        <v>86</v>
      </c>
      <c r="G27" s="7" t="n">
        <v>27</v>
      </c>
    </row>
    <row r="28" customFormat="false" ht="12.75" hidden="false" customHeight="true" outlineLevel="0" collapsed="false">
      <c r="A28" s="7" t="s">
        <v>87</v>
      </c>
      <c r="B28" s="7" t="s">
        <v>88</v>
      </c>
      <c r="C28" s="7" t="n">
        <v>1</v>
      </c>
      <c r="D28" s="8" t="n">
        <v>92000000</v>
      </c>
      <c r="E28" s="7" t="s">
        <v>30</v>
      </c>
      <c r="F28" s="9" t="s">
        <v>89</v>
      </c>
      <c r="G28" s="7" t="n">
        <v>28</v>
      </c>
    </row>
    <row r="29" customFormat="false" ht="12.75" hidden="false" customHeight="true" outlineLevel="0" collapsed="false">
      <c r="A29" s="7" t="s">
        <v>90</v>
      </c>
      <c r="B29" s="7" t="s">
        <v>57</v>
      </c>
      <c r="C29" s="7" t="n">
        <v>1</v>
      </c>
      <c r="D29" s="8" t="n">
        <v>68838000</v>
      </c>
      <c r="E29" s="7" t="s">
        <v>30</v>
      </c>
      <c r="F29" s="9" t="s">
        <v>91</v>
      </c>
      <c r="G29" s="7" t="n">
        <v>29</v>
      </c>
    </row>
    <row r="30" customFormat="false" ht="12.75" hidden="false" customHeight="true" outlineLevel="0" collapsed="false">
      <c r="A30" s="7" t="s">
        <v>92</v>
      </c>
      <c r="B30" s="7" t="s">
        <v>57</v>
      </c>
      <c r="C30" s="7" t="n">
        <v>1</v>
      </c>
      <c r="D30" s="8" t="n">
        <v>33700800</v>
      </c>
      <c r="E30" s="7" t="s">
        <v>30</v>
      </c>
      <c r="F30" s="9" t="s">
        <v>93</v>
      </c>
      <c r="G30" s="7" t="n">
        <v>30</v>
      </c>
    </row>
    <row r="31" customFormat="false" ht="12.75" hidden="false" customHeight="true" outlineLevel="0" collapsed="false">
      <c r="A31" s="7" t="s">
        <v>94</v>
      </c>
      <c r="B31" s="7" t="s">
        <v>67</v>
      </c>
      <c r="C31" s="7" t="n">
        <v>1</v>
      </c>
      <c r="D31" s="8" t="n">
        <v>24800000</v>
      </c>
      <c r="E31" s="7" t="s">
        <v>54</v>
      </c>
      <c r="F31" s="9" t="s">
        <v>95</v>
      </c>
      <c r="G31" s="7" t="n">
        <v>31</v>
      </c>
    </row>
    <row r="32" customFormat="false" ht="12.75" hidden="false" customHeight="true" outlineLevel="0" collapsed="false">
      <c r="A32" s="7" t="s">
        <v>96</v>
      </c>
      <c r="B32" s="7" t="s">
        <v>97</v>
      </c>
      <c r="C32" s="7" t="n">
        <v>1</v>
      </c>
      <c r="D32" s="8" t="n">
        <v>20746000</v>
      </c>
      <c r="E32" s="7" t="s">
        <v>30</v>
      </c>
      <c r="F32" s="9" t="s">
        <v>98</v>
      </c>
      <c r="G32" s="7" t="n">
        <v>32</v>
      </c>
    </row>
    <row r="33" customFormat="false" ht="25.5" hidden="false" customHeight="true" outlineLevel="0" collapsed="false">
      <c r="A33" s="7" t="s">
        <v>99</v>
      </c>
      <c r="B33" s="7" t="s">
        <v>100</v>
      </c>
      <c r="C33" s="7" t="n">
        <v>1</v>
      </c>
      <c r="D33" s="8" t="n">
        <v>2000000</v>
      </c>
      <c r="E33" s="7" t="s">
        <v>30</v>
      </c>
      <c r="F33" s="9" t="s">
        <v>101</v>
      </c>
      <c r="G33" s="7" t="n">
        <v>33</v>
      </c>
    </row>
    <row r="34" customFormat="false" ht="25.5" hidden="false" customHeight="true" outlineLevel="0" collapsed="false">
      <c r="A34" s="7" t="s">
        <v>102</v>
      </c>
      <c r="B34" s="7" t="s">
        <v>29</v>
      </c>
      <c r="C34" s="7" t="n">
        <v>1</v>
      </c>
      <c r="D34" s="8" t="n">
        <v>2000000</v>
      </c>
      <c r="E34" s="7" t="s">
        <v>30</v>
      </c>
      <c r="F34" s="9" t="s">
        <v>103</v>
      </c>
      <c r="G34" s="7" t="n">
        <v>34</v>
      </c>
    </row>
    <row r="35" customFormat="false" ht="12.75" hidden="false" customHeight="true" outlineLevel="0" collapsed="false">
      <c r="A35" s="7" t="s">
        <v>104</v>
      </c>
      <c r="B35" s="7" t="s">
        <v>105</v>
      </c>
      <c r="C35" s="7" t="n">
        <v>1</v>
      </c>
      <c r="D35" s="8" t="n">
        <v>1722000</v>
      </c>
      <c r="E35" s="7" t="s">
        <v>30</v>
      </c>
      <c r="F35" s="9" t="s">
        <v>106</v>
      </c>
      <c r="G35" s="7" t="n">
        <v>35</v>
      </c>
    </row>
    <row r="36" customFormat="false" ht="12.75" hidden="false" customHeight="true" outlineLevel="0" collapsed="false">
      <c r="A36" s="7" t="s">
        <v>107</v>
      </c>
      <c r="B36" s="7" t="s">
        <v>108</v>
      </c>
      <c r="C36" s="7" t="n">
        <v>1</v>
      </c>
      <c r="D36" s="8" t="n">
        <v>1214000</v>
      </c>
      <c r="E36" s="7" t="s">
        <v>36</v>
      </c>
      <c r="F36" s="9" t="s">
        <v>109</v>
      </c>
      <c r="G36" s="7" t="n">
        <v>36</v>
      </c>
    </row>
    <row r="37" customFormat="false" ht="12.75" hidden="false" customHeight="true" outlineLevel="0" collapsed="false">
      <c r="A37" s="7" t="s">
        <v>110</v>
      </c>
      <c r="B37" s="7" t="s">
        <v>49</v>
      </c>
      <c r="C37" s="7" t="n">
        <v>1</v>
      </c>
      <c r="D37" s="8" t="n">
        <v>116153</v>
      </c>
      <c r="E37" s="7" t="s">
        <v>30</v>
      </c>
      <c r="F37" s="9" t="s">
        <v>111</v>
      </c>
      <c r="G37" s="7" t="n">
        <v>37</v>
      </c>
    </row>
    <row r="38" customFormat="false" ht="12.75" hidden="false" customHeight="true" outlineLevel="0" collapsed="false">
      <c r="A38" s="7" t="s">
        <v>112</v>
      </c>
      <c r="B38" s="7" t="s">
        <v>113</v>
      </c>
      <c r="C38" s="7" t="n">
        <v>1</v>
      </c>
      <c r="D38" s="8" t="n">
        <v>53065.35</v>
      </c>
      <c r="E38" s="7" t="s">
        <v>30</v>
      </c>
      <c r="F38" s="9" t="s">
        <v>114</v>
      </c>
      <c r="G38" s="7" t="n">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26"/>
    <col collapsed="false" customWidth="true" hidden="false" outlineLevel="0" max="3" min="3" style="0" width="7"/>
    <col collapsed="false" customWidth="true" hidden="false" outlineLevel="0" max="5" min="4" style="0" width="16"/>
    <col collapsed="false" customWidth="true" hidden="false" outlineLevel="0" max="6" min="6" style="0" width="19"/>
    <col collapsed="false" customWidth="true" hidden="false" outlineLevel="0" max="7" min="7" style="0" width="7"/>
    <col collapsed="false" customWidth="true" hidden="false" outlineLevel="0" max="8" min="8" style="0" width="15"/>
    <col collapsed="false" customWidth="true" hidden="false" outlineLevel="0" max="9" min="9" style="0" width="26"/>
    <col collapsed="false" customWidth="true" hidden="false" outlineLevel="0" max="10" min="10" style="0" width="11"/>
    <col collapsed="false" customWidth="true" hidden="false" outlineLevel="0" max="11" min="11" style="0" width="15"/>
    <col collapsed="false" customWidth="true" hidden="false" outlineLevel="0" max="12" min="12" style="0" width="60"/>
    <col collapsed="false" customWidth="true" hidden="false" outlineLevel="0" max="13" min="13" style="0" width="20"/>
    <col collapsed="false" customWidth="true" hidden="false" outlineLevel="0" max="14" min="14" style="0" width="10"/>
    <col collapsed="false" customWidth="true" hidden="false" outlineLevel="0" max="15" min="15" style="0" width="34"/>
    <col collapsed="false" customWidth="true" hidden="false" outlineLevel="0" max="16" min="16" style="0" width="12"/>
    <col collapsed="false" customWidth="true" hidden="false" outlineLevel="0" max="18" min="17" style="0" width="13"/>
    <col collapsed="false" customWidth="true" hidden="false" outlineLevel="0" max="19" min="19" style="0" width="40"/>
  </cols>
  <sheetData>
    <row r="1" customFormat="false" ht="16.15" hidden="false" customHeight="false" outlineLevel="0" collapsed="false">
      <c r="A1" s="4" t="s">
        <v>115</v>
      </c>
    </row>
    <row r="2" customFormat="false" ht="25.5" hidden="false" customHeight="true" outlineLevel="0" collapsed="false">
      <c r="A2" s="5" t="s">
        <v>116</v>
      </c>
    </row>
    <row r="4" customFormat="false" ht="30" hidden="false" customHeight="true" outlineLevel="0" collapsed="false">
      <c r="A4" s="6" t="s">
        <v>117</v>
      </c>
      <c r="B4" s="6" t="s">
        <v>22</v>
      </c>
      <c r="C4" s="6" t="s">
        <v>23</v>
      </c>
      <c r="D4" s="6" t="s">
        <v>118</v>
      </c>
      <c r="E4" s="6" t="s">
        <v>119</v>
      </c>
      <c r="F4" s="6" t="s">
        <v>24</v>
      </c>
      <c r="G4" s="6" t="s">
        <v>120</v>
      </c>
      <c r="H4" s="6" t="s">
        <v>121</v>
      </c>
      <c r="I4" s="6" t="s">
        <v>122</v>
      </c>
      <c r="J4" s="6" t="s">
        <v>25</v>
      </c>
      <c r="K4" s="6" t="s">
        <v>123</v>
      </c>
      <c r="L4" s="6" t="s">
        <v>124</v>
      </c>
      <c r="M4" s="6" t="s">
        <v>125</v>
      </c>
      <c r="N4" s="6" t="s">
        <v>126</v>
      </c>
      <c r="O4" s="6" t="s">
        <v>127</v>
      </c>
      <c r="P4" s="6" t="s">
        <v>128</v>
      </c>
      <c r="Q4" s="6" t="s">
        <v>129</v>
      </c>
      <c r="R4" s="6" t="s">
        <v>130</v>
      </c>
      <c r="S4" s="6" t="s">
        <v>131</v>
      </c>
    </row>
    <row r="5" customFormat="false" ht="15" hidden="false" customHeight="false" outlineLevel="0" collapsed="false">
      <c r="A5" s="7" t="s">
        <v>28</v>
      </c>
      <c r="B5" s="7" t="s">
        <v>29</v>
      </c>
      <c r="C5" s="7" t="n">
        <v>63</v>
      </c>
      <c r="D5" s="10" t="n">
        <v>4545000</v>
      </c>
      <c r="E5" s="10" t="n">
        <v>200000</v>
      </c>
      <c r="F5" s="10" t="n">
        <v>4166421000</v>
      </c>
      <c r="G5" s="7"/>
      <c r="H5" s="7" t="s">
        <v>30</v>
      </c>
      <c r="I5" s="7"/>
      <c r="J5" s="7" t="s">
        <v>30</v>
      </c>
      <c r="K5" s="11" t="n">
        <f aca="false">IFERROR(E5/F5,"")</f>
        <v>4.80028302468714E-005</v>
      </c>
      <c r="L5" s="9" t="s">
        <v>31</v>
      </c>
      <c r="M5" s="12"/>
      <c r="N5" s="13"/>
      <c r="O5" s="13"/>
      <c r="P5" s="13"/>
      <c r="Q5" s="11" t="str">
        <f aca="false">IF(M5="","",IFERROR(E5/M5,""))</f>
        <v/>
      </c>
      <c r="R5" s="14" t="str">
        <f aca="false">IF(M5="","",IFERROR(F5/M5,""))</f>
        <v/>
      </c>
      <c r="S5" s="13"/>
    </row>
    <row r="6" customFormat="false" ht="22.35" hidden="false" customHeight="false" outlineLevel="0" collapsed="false">
      <c r="A6" s="7" t="s">
        <v>32</v>
      </c>
      <c r="B6" s="7" t="s">
        <v>29</v>
      </c>
      <c r="C6" s="7" t="n">
        <v>17</v>
      </c>
      <c r="D6" s="10" t="n">
        <v>898000</v>
      </c>
      <c r="E6" s="10" t="n">
        <v>200000</v>
      </c>
      <c r="F6" s="10" t="n">
        <v>1451400000</v>
      </c>
      <c r="G6" s="7"/>
      <c r="H6" s="7" t="s">
        <v>30</v>
      </c>
      <c r="I6" s="7"/>
      <c r="J6" s="7" t="s">
        <v>30</v>
      </c>
      <c r="K6" s="11" t="n">
        <f aca="false">IFERROR(E6/F6,"")</f>
        <v>0.000137797988149373</v>
      </c>
      <c r="L6" s="9" t="s">
        <v>33</v>
      </c>
      <c r="M6" s="12"/>
      <c r="N6" s="13"/>
      <c r="O6" s="13"/>
      <c r="P6" s="13"/>
      <c r="Q6" s="11" t="str">
        <f aca="false">IF(M6="","",IFERROR(E6/M6,""))</f>
        <v/>
      </c>
      <c r="R6" s="14" t="str">
        <f aca="false">IF(M6="","",IFERROR(F6/M6,""))</f>
        <v/>
      </c>
      <c r="S6" s="13"/>
    </row>
    <row r="7" customFormat="false" ht="32.8" hidden="false" customHeight="false" outlineLevel="0" collapsed="false">
      <c r="A7" s="7" t="s">
        <v>34</v>
      </c>
      <c r="B7" s="7" t="s">
        <v>35</v>
      </c>
      <c r="C7" s="7" t="n">
        <v>11</v>
      </c>
      <c r="D7" s="10" t="n">
        <v>557000</v>
      </c>
      <c r="E7" s="10" t="n">
        <v>120000</v>
      </c>
      <c r="F7" s="10" t="n">
        <v>1051000000</v>
      </c>
      <c r="G7" s="7" t="s">
        <v>132</v>
      </c>
      <c r="H7" s="7" t="s">
        <v>133</v>
      </c>
      <c r="I7" s="7" t="s">
        <v>134</v>
      </c>
      <c r="J7" s="7" t="s">
        <v>36</v>
      </c>
      <c r="K7" s="11" t="n">
        <f aca="false">IFERROR(E7/F7,"")</f>
        <v>0.000114176974310181</v>
      </c>
      <c r="L7" s="9" t="s">
        <v>37</v>
      </c>
      <c r="M7" s="12"/>
      <c r="N7" s="13"/>
      <c r="O7" s="13"/>
      <c r="P7" s="13"/>
      <c r="Q7" s="11" t="str">
        <f aca="false">IF(M7="","",IFERROR(E7/M7,""))</f>
        <v/>
      </c>
      <c r="R7" s="14" t="str">
        <f aca="false">IF(M7="","",IFERROR(F7/M7,""))</f>
        <v/>
      </c>
      <c r="S7" s="13"/>
    </row>
    <row r="8" customFormat="false" ht="43.25" hidden="false" customHeight="false" outlineLevel="0" collapsed="false">
      <c r="A8" s="7" t="s">
        <v>38</v>
      </c>
      <c r="B8" s="7" t="s">
        <v>39</v>
      </c>
      <c r="C8" s="7" t="n">
        <v>10</v>
      </c>
      <c r="D8" s="10" t="n">
        <v>5653430</v>
      </c>
      <c r="E8" s="10" t="n">
        <v>4000000</v>
      </c>
      <c r="F8" s="10" t="n">
        <v>1878000000</v>
      </c>
      <c r="G8" s="7"/>
      <c r="H8" s="7" t="s">
        <v>30</v>
      </c>
      <c r="I8" s="7"/>
      <c r="J8" s="7" t="s">
        <v>30</v>
      </c>
      <c r="K8" s="11" t="n">
        <f aca="false">IFERROR(E8/F8,"")</f>
        <v>0.00212992545260916</v>
      </c>
      <c r="L8" s="9" t="s">
        <v>40</v>
      </c>
      <c r="M8" s="12"/>
      <c r="N8" s="13"/>
      <c r="O8" s="13"/>
      <c r="P8" s="13"/>
      <c r="Q8" s="11" t="str">
        <f aca="false">IF(M8="","",IFERROR(E8/M8,""))</f>
        <v/>
      </c>
      <c r="R8" s="14" t="str">
        <f aca="false">IF(M8="","",IFERROR(F8/M8,""))</f>
        <v/>
      </c>
      <c r="S8" s="13"/>
    </row>
    <row r="9" customFormat="false" ht="15" hidden="false" customHeight="false" outlineLevel="0" collapsed="false">
      <c r="A9" s="7" t="s">
        <v>41</v>
      </c>
      <c r="B9" s="7" t="s">
        <v>29</v>
      </c>
      <c r="C9" s="7" t="n">
        <v>6</v>
      </c>
      <c r="D9" s="10" t="n">
        <v>1230000</v>
      </c>
      <c r="E9" s="10" t="n">
        <v>800000</v>
      </c>
      <c r="F9" s="10" t="n">
        <v>20000000000</v>
      </c>
      <c r="G9" s="7"/>
      <c r="H9" s="7" t="s">
        <v>30</v>
      </c>
      <c r="I9" s="7"/>
      <c r="J9" s="7" t="s">
        <v>30</v>
      </c>
      <c r="K9" s="11" t="n">
        <f aca="false">IFERROR(E9/F9,"")</f>
        <v>4E-005</v>
      </c>
      <c r="L9" s="9" t="s">
        <v>42</v>
      </c>
      <c r="M9" s="12"/>
      <c r="N9" s="13"/>
      <c r="O9" s="13"/>
      <c r="P9" s="13"/>
      <c r="Q9" s="11" t="str">
        <f aca="false">IF(M9="","",IFERROR(E9/M9,""))</f>
        <v/>
      </c>
      <c r="R9" s="14" t="str">
        <f aca="false">IF(M9="","",IFERROR(F9/M9,""))</f>
        <v/>
      </c>
      <c r="S9" s="13"/>
    </row>
    <row r="10" customFormat="false" ht="15" hidden="false" customHeight="false" outlineLevel="0" collapsed="false">
      <c r="A10" s="7" t="s">
        <v>43</v>
      </c>
      <c r="B10" s="7" t="s">
        <v>44</v>
      </c>
      <c r="C10" s="7" t="n">
        <v>5</v>
      </c>
      <c r="D10" s="10" t="n">
        <v>10744000</v>
      </c>
      <c r="E10" s="10" t="n">
        <v>5508000</v>
      </c>
      <c r="F10" s="10" t="n">
        <v>26240000000</v>
      </c>
      <c r="G10" s="7"/>
      <c r="H10" s="7" t="s">
        <v>30</v>
      </c>
      <c r="I10" s="7"/>
      <c r="J10" s="7" t="s">
        <v>30</v>
      </c>
      <c r="K10" s="11" t="n">
        <f aca="false">IFERROR(E10/F10,"")</f>
        <v>0.000209908536585366</v>
      </c>
      <c r="L10" s="9" t="s">
        <v>45</v>
      </c>
      <c r="M10" s="12"/>
      <c r="N10" s="13"/>
      <c r="O10" s="13"/>
      <c r="P10" s="13"/>
      <c r="Q10" s="11" t="str">
        <f aca="false">IF(M10="","",IFERROR(E10/M10,""))</f>
        <v/>
      </c>
      <c r="R10" s="14" t="str">
        <f aca="false">IF(M10="","",IFERROR(F10/M10,""))</f>
        <v/>
      </c>
      <c r="S10" s="13"/>
    </row>
    <row r="11" customFormat="false" ht="22.35" hidden="false" customHeight="false" outlineLevel="0" collapsed="false">
      <c r="A11" s="7" t="s">
        <v>46</v>
      </c>
      <c r="B11" s="7" t="s">
        <v>29</v>
      </c>
      <c r="C11" s="7" t="n">
        <v>5</v>
      </c>
      <c r="D11" s="10" t="n">
        <v>5170000</v>
      </c>
      <c r="E11" s="10" t="n">
        <v>5000000</v>
      </c>
      <c r="F11" s="10" t="n">
        <v>10000000000</v>
      </c>
      <c r="G11" s="7"/>
      <c r="H11" s="7" t="s">
        <v>30</v>
      </c>
      <c r="I11" s="7"/>
      <c r="J11" s="7" t="s">
        <v>30</v>
      </c>
      <c r="K11" s="11" t="n">
        <f aca="false">IFERROR(E11/F11,"")</f>
        <v>0.0005</v>
      </c>
      <c r="L11" s="9" t="s">
        <v>47</v>
      </c>
      <c r="M11" s="12"/>
      <c r="N11" s="13"/>
      <c r="O11" s="13"/>
      <c r="P11" s="13"/>
      <c r="Q11" s="11" t="str">
        <f aca="false">IF(M11="","",IFERROR(E11/M11,""))</f>
        <v/>
      </c>
      <c r="R11" s="14" t="str">
        <f aca="false">IF(M11="","",IFERROR(F11/M11,""))</f>
        <v/>
      </c>
      <c r="S11" s="13"/>
    </row>
    <row r="12" customFormat="false" ht="32.8" hidden="false" customHeight="false" outlineLevel="0" collapsed="false">
      <c r="A12" s="7" t="s">
        <v>48</v>
      </c>
      <c r="B12" s="7" t="s">
        <v>49</v>
      </c>
      <c r="C12" s="7" t="n">
        <v>3</v>
      </c>
      <c r="D12" s="10" t="n">
        <v>24000</v>
      </c>
      <c r="E12" s="10" t="n">
        <v>15000</v>
      </c>
      <c r="F12" s="10" t="n">
        <v>1051000000</v>
      </c>
      <c r="G12" s="7" t="s">
        <v>132</v>
      </c>
      <c r="H12" s="7" t="s">
        <v>133</v>
      </c>
      <c r="I12" s="7" t="s">
        <v>134</v>
      </c>
      <c r="J12" s="7" t="s">
        <v>36</v>
      </c>
      <c r="K12" s="11" t="n">
        <f aca="false">IFERROR(E12/F12,"")</f>
        <v>1.42721217887726E-005</v>
      </c>
      <c r="L12" s="9" t="s">
        <v>50</v>
      </c>
      <c r="M12" s="12"/>
      <c r="N12" s="13"/>
      <c r="O12" s="13"/>
      <c r="P12" s="13"/>
      <c r="Q12" s="11" t="str">
        <f aca="false">IF(M12="","",IFERROR(E12/M12,""))</f>
        <v/>
      </c>
      <c r="R12" s="14" t="str">
        <f aca="false">IF(M12="","",IFERROR(F12/M12,""))</f>
        <v/>
      </c>
      <c r="S12" s="13"/>
    </row>
    <row r="13" customFormat="false" ht="32.8" hidden="false" customHeight="false" outlineLevel="0" collapsed="false">
      <c r="A13" s="7" t="s">
        <v>51</v>
      </c>
      <c r="B13" s="7" t="s">
        <v>29</v>
      </c>
      <c r="C13" s="7" t="n">
        <v>3</v>
      </c>
      <c r="D13" s="10" t="n">
        <v>132000</v>
      </c>
      <c r="E13" s="10" t="n">
        <v>56000</v>
      </c>
      <c r="F13" s="10" t="n">
        <v>1051000000</v>
      </c>
      <c r="G13" s="7" t="s">
        <v>132</v>
      </c>
      <c r="H13" s="7" t="s">
        <v>133</v>
      </c>
      <c r="I13" s="7" t="s">
        <v>134</v>
      </c>
      <c r="J13" s="7" t="s">
        <v>36</v>
      </c>
      <c r="K13" s="11" t="n">
        <f aca="false">IFERROR(E13/F13,"")</f>
        <v>5.32825880114177E-005</v>
      </c>
      <c r="L13" s="9" t="s">
        <v>52</v>
      </c>
      <c r="M13" s="12"/>
      <c r="N13" s="13"/>
      <c r="O13" s="13"/>
      <c r="P13" s="13"/>
      <c r="Q13" s="11" t="str">
        <f aca="false">IF(M13="","",IFERROR(E13/M13,""))</f>
        <v/>
      </c>
      <c r="R13" s="14" t="str">
        <f aca="false">IF(M13="","",IFERROR(F13/M13,""))</f>
        <v/>
      </c>
      <c r="S13" s="13"/>
    </row>
    <row r="14" customFormat="false" ht="15" hidden="false" customHeight="false" outlineLevel="0" collapsed="false">
      <c r="A14" s="7" t="s">
        <v>53</v>
      </c>
      <c r="B14" s="7" t="s">
        <v>49</v>
      </c>
      <c r="C14" s="7" t="n">
        <v>2</v>
      </c>
      <c r="D14" s="10" t="n">
        <v>3000</v>
      </c>
      <c r="E14" s="10" t="n">
        <v>2000</v>
      </c>
      <c r="F14" s="10" t="n">
        <v>1861000000</v>
      </c>
      <c r="G14" s="7" t="s">
        <v>132</v>
      </c>
      <c r="H14" s="7" t="s">
        <v>135</v>
      </c>
      <c r="I14" s="7" t="s">
        <v>136</v>
      </c>
      <c r="J14" s="7" t="s">
        <v>54</v>
      </c>
      <c r="K14" s="11" t="n">
        <f aca="false">IFERROR(E14/F14,"")</f>
        <v>1.07469102632993E-006</v>
      </c>
      <c r="L14" s="9" t="s">
        <v>55</v>
      </c>
      <c r="M14" s="12"/>
      <c r="N14" s="13"/>
      <c r="O14" s="13"/>
      <c r="P14" s="13"/>
      <c r="Q14" s="11" t="str">
        <f aca="false">IF(M14="","",IFERROR(E14/M14,""))</f>
        <v/>
      </c>
      <c r="R14" s="14" t="str">
        <f aca="false">IF(M14="","",IFERROR(F14/M14,""))</f>
        <v/>
      </c>
      <c r="S14" s="13"/>
    </row>
    <row r="15" customFormat="false" ht="15" hidden="false" customHeight="false" outlineLevel="0" collapsed="false">
      <c r="A15" s="7" t="s">
        <v>56</v>
      </c>
      <c r="B15" s="7" t="s">
        <v>57</v>
      </c>
      <c r="C15" s="7" t="n">
        <v>2</v>
      </c>
      <c r="D15" s="10" t="n">
        <v>170000</v>
      </c>
      <c r="E15" s="10" t="n">
        <v>120000</v>
      </c>
      <c r="F15" s="10" t="n">
        <v>1451400000</v>
      </c>
      <c r="G15" s="7"/>
      <c r="H15" s="7" t="s">
        <v>30</v>
      </c>
      <c r="I15" s="7"/>
      <c r="J15" s="7" t="s">
        <v>30</v>
      </c>
      <c r="K15" s="11" t="n">
        <f aca="false">IFERROR(E15/F15,"")</f>
        <v>8.26787928896238E-005</v>
      </c>
      <c r="L15" s="9" t="s">
        <v>58</v>
      </c>
      <c r="M15" s="12"/>
      <c r="N15" s="13"/>
      <c r="O15" s="13"/>
      <c r="P15" s="13"/>
      <c r="Q15" s="11" t="str">
        <f aca="false">IF(M15="","",IFERROR(E15/M15,""))</f>
        <v/>
      </c>
      <c r="R15" s="14" t="str">
        <f aca="false">IF(M15="","",IFERROR(F15/M15,""))</f>
        <v/>
      </c>
      <c r="S15" s="13"/>
    </row>
    <row r="16" customFormat="false" ht="32.8" hidden="false" customHeight="false" outlineLevel="0" collapsed="false">
      <c r="A16" s="7" t="s">
        <v>59</v>
      </c>
      <c r="B16" s="7" t="s">
        <v>60</v>
      </c>
      <c r="C16" s="7" t="n">
        <v>2</v>
      </c>
      <c r="D16" s="10" t="n">
        <v>580000</v>
      </c>
      <c r="E16" s="10" t="n">
        <v>550000</v>
      </c>
      <c r="F16" s="10" t="n">
        <v>1051000000</v>
      </c>
      <c r="G16" s="7" t="s">
        <v>132</v>
      </c>
      <c r="H16" s="7" t="s">
        <v>133</v>
      </c>
      <c r="I16" s="7" t="s">
        <v>134</v>
      </c>
      <c r="J16" s="7" t="s">
        <v>36</v>
      </c>
      <c r="K16" s="11" t="n">
        <f aca="false">IFERROR(E16/F16,"")</f>
        <v>0.000523311132254995</v>
      </c>
      <c r="L16" s="9" t="s">
        <v>61</v>
      </c>
      <c r="M16" s="12"/>
      <c r="N16" s="13"/>
      <c r="O16" s="13"/>
      <c r="P16" s="13"/>
      <c r="Q16" s="11" t="str">
        <f aca="false">IF(M16="","",IFERROR(E16/M16,""))</f>
        <v/>
      </c>
      <c r="R16" s="14" t="str">
        <f aca="false">IF(M16="","",IFERROR(F16/M16,""))</f>
        <v/>
      </c>
      <c r="S16" s="13"/>
    </row>
    <row r="17" customFormat="false" ht="32.8" hidden="false" customHeight="false" outlineLevel="0" collapsed="false">
      <c r="A17" s="7" t="s">
        <v>62</v>
      </c>
      <c r="B17" s="7" t="s">
        <v>29</v>
      </c>
      <c r="C17" s="7" t="n">
        <v>2</v>
      </c>
      <c r="D17" s="10" t="n">
        <v>80000</v>
      </c>
      <c r="E17" s="10" t="n">
        <v>40000</v>
      </c>
      <c r="F17" s="10" t="n">
        <v>1051000000</v>
      </c>
      <c r="G17" s="7" t="s">
        <v>132</v>
      </c>
      <c r="H17" s="7" t="s">
        <v>133</v>
      </c>
      <c r="I17" s="7" t="s">
        <v>134</v>
      </c>
      <c r="J17" s="7" t="s">
        <v>36</v>
      </c>
      <c r="K17" s="11" t="n">
        <f aca="false">IFERROR(E17/F17,"")</f>
        <v>3.80589914367269E-005</v>
      </c>
      <c r="L17" s="9" t="s">
        <v>63</v>
      </c>
      <c r="M17" s="12"/>
      <c r="N17" s="13"/>
      <c r="O17" s="13"/>
      <c r="P17" s="13"/>
      <c r="Q17" s="11" t="str">
        <f aca="false">IF(M17="","",IFERROR(E17/M17,""))</f>
        <v/>
      </c>
      <c r="R17" s="14" t="str">
        <f aca="false">IF(M17="","",IFERROR(F17/M17,""))</f>
        <v/>
      </c>
      <c r="S17" s="13"/>
    </row>
    <row r="18" customFormat="false" ht="15" hidden="false" customHeight="false" outlineLevel="0" collapsed="false">
      <c r="A18" s="7" t="s">
        <v>64</v>
      </c>
      <c r="B18" s="7" t="s">
        <v>49</v>
      </c>
      <c r="C18" s="7" t="n">
        <v>2</v>
      </c>
      <c r="D18" s="10" t="n">
        <v>7000</v>
      </c>
      <c r="E18" s="10" t="n">
        <v>4000</v>
      </c>
      <c r="F18" s="10" t="n">
        <v>66000</v>
      </c>
      <c r="G18" s="7" t="s">
        <v>137</v>
      </c>
      <c r="H18" s="7" t="s">
        <v>133</v>
      </c>
      <c r="I18" s="7" t="s">
        <v>138</v>
      </c>
      <c r="J18" s="7" t="s">
        <v>36</v>
      </c>
      <c r="K18" s="11" t="n">
        <f aca="false">IFERROR(E18/F18,"")</f>
        <v>0.0606060606060606</v>
      </c>
      <c r="L18" s="9" t="s">
        <v>65</v>
      </c>
      <c r="M18" s="12"/>
      <c r="N18" s="13"/>
      <c r="O18" s="13"/>
      <c r="P18" s="13"/>
      <c r="Q18" s="11" t="str">
        <f aca="false">IF(M18="","",IFERROR(E18/M18,""))</f>
        <v/>
      </c>
      <c r="R18" s="14" t="str">
        <f aca="false">IF(M18="","",IFERROR(F18/M18,""))</f>
        <v/>
      </c>
      <c r="S18" s="13"/>
    </row>
    <row r="19" customFormat="false" ht="15" hidden="false" customHeight="false" outlineLevel="0" collapsed="false">
      <c r="A19" s="7" t="s">
        <v>66</v>
      </c>
      <c r="B19" s="7" t="s">
        <v>67</v>
      </c>
      <c r="C19" s="7" t="n">
        <v>1</v>
      </c>
      <c r="D19" s="10" t="n">
        <v>824990000</v>
      </c>
      <c r="E19" s="10" t="n">
        <v>824990000</v>
      </c>
      <c r="F19" s="10" t="n">
        <v>29648000000</v>
      </c>
      <c r="G19" s="7"/>
      <c r="H19" s="7" t="s">
        <v>30</v>
      </c>
      <c r="I19" s="7"/>
      <c r="J19" s="7" t="s">
        <v>30</v>
      </c>
      <c r="K19" s="11" t="n">
        <f aca="false">IFERROR(E19/F19,"")</f>
        <v>0.027826160280626</v>
      </c>
      <c r="L19" s="9" t="s">
        <v>68</v>
      </c>
      <c r="M19" s="12"/>
      <c r="N19" s="13"/>
      <c r="O19" s="13"/>
      <c r="P19" s="13"/>
      <c r="Q19" s="11" t="str">
        <f aca="false">IF(M19="","",IFERROR(E19/M19,""))</f>
        <v/>
      </c>
      <c r="R19" s="14" t="str">
        <f aca="false">IF(M19="","",IFERROR(F19/M19,""))</f>
        <v/>
      </c>
      <c r="S19" s="13"/>
    </row>
    <row r="20" customFormat="false" ht="15" hidden="false" customHeight="false" outlineLevel="0" collapsed="false">
      <c r="A20" s="7" t="s">
        <v>69</v>
      </c>
      <c r="B20" s="7" t="s">
        <v>70</v>
      </c>
      <c r="C20" s="7" t="n">
        <v>1</v>
      </c>
      <c r="D20" s="10" t="n">
        <v>530000000</v>
      </c>
      <c r="E20" s="10" t="n">
        <v>530000000</v>
      </c>
      <c r="F20" s="10" t="n">
        <v>21390000000</v>
      </c>
      <c r="G20" s="7"/>
      <c r="H20" s="7" t="s">
        <v>30</v>
      </c>
      <c r="I20" s="7"/>
      <c r="J20" s="7" t="s">
        <v>30</v>
      </c>
      <c r="K20" s="11" t="n">
        <f aca="false">IFERROR(E20/F20,"")</f>
        <v>0.0247779336138382</v>
      </c>
      <c r="L20" s="9" t="s">
        <v>71</v>
      </c>
      <c r="M20" s="12"/>
      <c r="N20" s="13"/>
      <c r="O20" s="13"/>
      <c r="P20" s="13"/>
      <c r="Q20" s="11" t="str">
        <f aca="false">IF(M20="","",IFERROR(E20/M20,""))</f>
        <v/>
      </c>
      <c r="R20" s="14" t="str">
        <f aca="false">IF(M20="","",IFERROR(F20/M20,""))</f>
        <v/>
      </c>
      <c r="S20" s="13"/>
    </row>
    <row r="21" customFormat="false" ht="15" hidden="false" customHeight="false" outlineLevel="0" collapsed="false">
      <c r="A21" s="7" t="s">
        <v>72</v>
      </c>
      <c r="B21" s="7" t="s">
        <v>70</v>
      </c>
      <c r="C21" s="7" t="n">
        <v>1</v>
      </c>
      <c r="D21" s="10" t="n">
        <v>310000000</v>
      </c>
      <c r="E21" s="10" t="n">
        <v>310000000</v>
      </c>
      <c r="F21" s="10" t="n">
        <v>15224000000</v>
      </c>
      <c r="G21" s="7"/>
      <c r="H21" s="7" t="s">
        <v>30</v>
      </c>
      <c r="I21" s="7"/>
      <c r="J21" s="7" t="s">
        <v>30</v>
      </c>
      <c r="K21" s="11" t="n">
        <f aca="false">IFERROR(E21/F21,"")</f>
        <v>0.0203625853914871</v>
      </c>
      <c r="L21" s="9" t="s">
        <v>73</v>
      </c>
      <c r="M21" s="12"/>
      <c r="N21" s="13"/>
      <c r="O21" s="13"/>
      <c r="P21" s="13"/>
      <c r="Q21" s="11" t="str">
        <f aca="false">IF(M21="","",IFERROR(E21/M21,""))</f>
        <v/>
      </c>
      <c r="R21" s="14" t="str">
        <f aca="false">IF(M21="","",IFERROR(F21/M21,""))</f>
        <v/>
      </c>
      <c r="S21" s="13"/>
    </row>
    <row r="22" customFormat="false" ht="15" hidden="false" customHeight="false" outlineLevel="0" collapsed="false">
      <c r="A22" s="7" t="s">
        <v>74</v>
      </c>
      <c r="B22" s="7" t="s">
        <v>75</v>
      </c>
      <c r="C22" s="7" t="n">
        <v>1</v>
      </c>
      <c r="D22" s="10" t="n">
        <v>4900000</v>
      </c>
      <c r="E22" s="10" t="n">
        <v>4900000</v>
      </c>
      <c r="F22" s="10" t="n">
        <v>10000000000</v>
      </c>
      <c r="G22" s="7"/>
      <c r="H22" s="7" t="s">
        <v>30</v>
      </c>
      <c r="I22" s="7"/>
      <c r="J22" s="7" t="s">
        <v>30</v>
      </c>
      <c r="K22" s="11" t="n">
        <f aca="false">IFERROR(E22/F22,"")</f>
        <v>0.00049</v>
      </c>
      <c r="L22" s="9" t="s">
        <v>76</v>
      </c>
      <c r="M22" s="12"/>
      <c r="N22" s="13"/>
      <c r="O22" s="13"/>
      <c r="P22" s="13"/>
      <c r="Q22" s="11" t="str">
        <f aca="false">IF(M22="","",IFERROR(E22/M22,""))</f>
        <v/>
      </c>
      <c r="R22" s="14" t="str">
        <f aca="false">IF(M22="","",IFERROR(F22/M22,""))</f>
        <v/>
      </c>
      <c r="S22" s="13"/>
    </row>
    <row r="23" customFormat="false" ht="22.35" hidden="false" customHeight="false" outlineLevel="0" collapsed="false">
      <c r="A23" s="7" t="s">
        <v>77</v>
      </c>
      <c r="B23" s="7" t="s">
        <v>60</v>
      </c>
      <c r="C23" s="7" t="n">
        <v>1</v>
      </c>
      <c r="D23" s="10" t="n">
        <v>20000</v>
      </c>
      <c r="E23" s="10" t="n">
        <v>20000</v>
      </c>
      <c r="F23" s="10" t="n">
        <v>1861000000</v>
      </c>
      <c r="G23" s="7" t="s">
        <v>132</v>
      </c>
      <c r="H23" s="7" t="s">
        <v>135</v>
      </c>
      <c r="I23" s="7" t="s">
        <v>136</v>
      </c>
      <c r="J23" s="7" t="s">
        <v>54</v>
      </c>
      <c r="K23" s="11" t="n">
        <f aca="false">IFERROR(E23/F23,"")</f>
        <v>1.07469102632993E-005</v>
      </c>
      <c r="L23" s="9" t="s">
        <v>78</v>
      </c>
      <c r="M23" s="12"/>
      <c r="N23" s="13"/>
      <c r="O23" s="13"/>
      <c r="P23" s="13"/>
      <c r="Q23" s="11" t="str">
        <f aca="false">IF(M23="","",IFERROR(E23/M23,""))</f>
        <v/>
      </c>
      <c r="R23" s="14" t="str">
        <f aca="false">IF(M23="","",IFERROR(F23/M23,""))</f>
        <v/>
      </c>
      <c r="S23" s="13"/>
    </row>
    <row r="24" customFormat="false" ht="22.35" hidden="false" customHeight="false" outlineLevel="0" collapsed="false">
      <c r="A24" s="7" t="s">
        <v>79</v>
      </c>
      <c r="B24" s="7" t="s">
        <v>60</v>
      </c>
      <c r="C24" s="7" t="n">
        <v>1</v>
      </c>
      <c r="D24" s="10" t="n">
        <v>10000</v>
      </c>
      <c r="E24" s="10" t="n">
        <v>10000</v>
      </c>
      <c r="F24" s="10" t="n">
        <v>1861000000</v>
      </c>
      <c r="G24" s="7" t="s">
        <v>132</v>
      </c>
      <c r="H24" s="7" t="s">
        <v>135</v>
      </c>
      <c r="I24" s="7" t="s">
        <v>136</v>
      </c>
      <c r="J24" s="7" t="s">
        <v>54</v>
      </c>
      <c r="K24" s="11" t="n">
        <f aca="false">IFERROR(E24/F24,"")</f>
        <v>5.37345513164965E-006</v>
      </c>
      <c r="L24" s="9" t="s">
        <v>80</v>
      </c>
      <c r="M24" s="12"/>
      <c r="N24" s="13"/>
      <c r="O24" s="13"/>
      <c r="P24" s="13"/>
      <c r="Q24" s="11" t="str">
        <f aca="false">IF(M24="","",IFERROR(E24/M24,""))</f>
        <v/>
      </c>
      <c r="R24" s="14" t="str">
        <f aca="false">IF(M24="","",IFERROR(F24/M24,""))</f>
        <v/>
      </c>
      <c r="S24" s="13"/>
    </row>
    <row r="25" customFormat="false" ht="32.8" hidden="false" customHeight="false" outlineLevel="0" collapsed="false">
      <c r="A25" s="7" t="s">
        <v>81</v>
      </c>
      <c r="B25" s="7" t="s">
        <v>70</v>
      </c>
      <c r="C25" s="7" t="n">
        <v>1</v>
      </c>
      <c r="D25" s="10" t="n">
        <v>1400</v>
      </c>
      <c r="E25" s="10" t="n">
        <v>1400</v>
      </c>
      <c r="F25" s="10" t="n">
        <v>1051000000</v>
      </c>
      <c r="G25" s="7" t="s">
        <v>132</v>
      </c>
      <c r="H25" s="7" t="s">
        <v>133</v>
      </c>
      <c r="I25" s="7" t="s">
        <v>134</v>
      </c>
      <c r="J25" s="7" t="s">
        <v>36</v>
      </c>
      <c r="K25" s="11" t="n">
        <f aca="false">IFERROR(E25/F25,"")</f>
        <v>1.33206470028544E-006</v>
      </c>
      <c r="L25" s="9" t="s">
        <v>82</v>
      </c>
      <c r="M25" s="12"/>
      <c r="N25" s="13"/>
      <c r="O25" s="13"/>
      <c r="P25" s="13"/>
      <c r="Q25" s="11" t="str">
        <f aca="false">IF(M25="","",IFERROR(E25/M25,""))</f>
        <v/>
      </c>
      <c r="R25" s="14" t="str">
        <f aca="false">IF(M25="","",IFERROR(F25/M25,""))</f>
        <v/>
      </c>
      <c r="S25" s="13"/>
    </row>
    <row r="26" customFormat="false" ht="32.8" hidden="false" customHeight="false" outlineLevel="0" collapsed="false">
      <c r="A26" s="7" t="s">
        <v>83</v>
      </c>
      <c r="B26" s="7" t="s">
        <v>57</v>
      </c>
      <c r="C26" s="7" t="n">
        <v>1</v>
      </c>
      <c r="D26" s="10" t="n">
        <v>500000</v>
      </c>
      <c r="E26" s="10" t="n">
        <v>500000</v>
      </c>
      <c r="F26" s="10" t="n">
        <v>1051000000</v>
      </c>
      <c r="G26" s="7" t="s">
        <v>132</v>
      </c>
      <c r="H26" s="7" t="s">
        <v>133</v>
      </c>
      <c r="I26" s="7" t="s">
        <v>134</v>
      </c>
      <c r="J26" s="7" t="s">
        <v>36</v>
      </c>
      <c r="K26" s="11" t="n">
        <f aca="false">IFERROR(E26/F26,"")</f>
        <v>0.000475737392959087</v>
      </c>
      <c r="L26" s="9" t="s">
        <v>84</v>
      </c>
      <c r="M26" s="12"/>
      <c r="N26" s="13"/>
      <c r="O26" s="13"/>
      <c r="P26" s="13"/>
      <c r="Q26" s="11" t="str">
        <f aca="false">IF(M26="","",IFERROR(E26/M26,""))</f>
        <v/>
      </c>
      <c r="R26" s="14" t="str">
        <f aca="false">IF(M26="","",IFERROR(F26/M26,""))</f>
        <v/>
      </c>
      <c r="S26" s="13"/>
    </row>
    <row r="27" customFormat="false" ht="32.8" hidden="false" customHeight="false" outlineLevel="0" collapsed="false">
      <c r="A27" s="7" t="s">
        <v>85</v>
      </c>
      <c r="B27" s="7" t="s">
        <v>49</v>
      </c>
      <c r="C27" s="7" t="n">
        <v>1</v>
      </c>
      <c r="D27" s="10" t="n">
        <v>1000</v>
      </c>
      <c r="E27" s="10" t="n">
        <v>1000</v>
      </c>
      <c r="F27" s="10" t="n">
        <v>1051000000</v>
      </c>
      <c r="G27" s="7" t="s">
        <v>132</v>
      </c>
      <c r="H27" s="7" t="s">
        <v>133</v>
      </c>
      <c r="I27" s="7" t="s">
        <v>134</v>
      </c>
      <c r="J27" s="7" t="s">
        <v>36</v>
      </c>
      <c r="K27" s="11" t="n">
        <f aca="false">IFERROR(E27/F27,"")</f>
        <v>9.51474785918173E-007</v>
      </c>
      <c r="L27" s="9" t="s">
        <v>86</v>
      </c>
      <c r="M27" s="12"/>
      <c r="N27" s="13"/>
      <c r="O27" s="13"/>
      <c r="P27" s="13"/>
      <c r="Q27" s="11" t="str">
        <f aca="false">IF(M27="","",IFERROR(E27/M27,""))</f>
        <v/>
      </c>
      <c r="R27" s="14" t="str">
        <f aca="false">IF(M27="","",IFERROR(F27/M27,""))</f>
        <v/>
      </c>
      <c r="S27" s="13"/>
    </row>
    <row r="28" customFormat="false" ht="15" hidden="false" customHeight="false" outlineLevel="0" collapsed="false">
      <c r="A28" s="7" t="s">
        <v>87</v>
      </c>
      <c r="B28" s="7" t="s">
        <v>88</v>
      </c>
      <c r="C28" s="7" t="n">
        <v>1</v>
      </c>
      <c r="D28" s="10" t="n">
        <v>6300000</v>
      </c>
      <c r="E28" s="10" t="n">
        <v>6300000</v>
      </c>
      <c r="F28" s="10" t="n">
        <v>92000000</v>
      </c>
      <c r="G28" s="7"/>
      <c r="H28" s="7" t="s">
        <v>30</v>
      </c>
      <c r="I28" s="7"/>
      <c r="J28" s="7" t="s">
        <v>30</v>
      </c>
      <c r="K28" s="11" t="n">
        <f aca="false">IFERROR(E28/F28,"")</f>
        <v>0.0684782608695652</v>
      </c>
      <c r="L28" s="9" t="s">
        <v>89</v>
      </c>
      <c r="M28" s="12"/>
      <c r="N28" s="13"/>
      <c r="O28" s="13"/>
      <c r="P28" s="13"/>
      <c r="Q28" s="11" t="str">
        <f aca="false">IF(M28="","",IFERROR(E28/M28,""))</f>
        <v/>
      </c>
      <c r="R28" s="14" t="str">
        <f aca="false">IF(M28="","",IFERROR(F28/M28,""))</f>
        <v/>
      </c>
      <c r="S28" s="13"/>
    </row>
    <row r="29" customFormat="false" ht="15" hidden="false" customHeight="false" outlineLevel="0" collapsed="false">
      <c r="A29" s="7" t="s">
        <v>90</v>
      </c>
      <c r="B29" s="7" t="s">
        <v>57</v>
      </c>
      <c r="C29" s="7" t="n">
        <v>1</v>
      </c>
      <c r="D29" s="10" t="n">
        <v>2600000</v>
      </c>
      <c r="E29" s="10" t="n">
        <v>2600000</v>
      </c>
      <c r="F29" s="10" t="n">
        <v>68838000</v>
      </c>
      <c r="G29" s="7"/>
      <c r="H29" s="7" t="s">
        <v>30</v>
      </c>
      <c r="I29" s="7"/>
      <c r="J29" s="7" t="s">
        <v>30</v>
      </c>
      <c r="K29" s="11" t="n">
        <f aca="false">IFERROR(E29/F29,"")</f>
        <v>0.0377698364275546</v>
      </c>
      <c r="L29" s="9" t="s">
        <v>91</v>
      </c>
      <c r="M29" s="12"/>
      <c r="N29" s="13"/>
      <c r="O29" s="13"/>
      <c r="P29" s="13"/>
      <c r="Q29" s="11" t="str">
        <f aca="false">IF(M29="","",IFERROR(E29/M29,""))</f>
        <v/>
      </c>
      <c r="R29" s="14" t="str">
        <f aca="false">IF(M29="","",IFERROR(F29/M29,""))</f>
        <v/>
      </c>
      <c r="S29" s="13"/>
    </row>
    <row r="30" customFormat="false" ht="15" hidden="false" customHeight="false" outlineLevel="0" collapsed="false">
      <c r="A30" s="7" t="s">
        <v>92</v>
      </c>
      <c r="B30" s="7" t="s">
        <v>57</v>
      </c>
      <c r="C30" s="7" t="n">
        <v>1</v>
      </c>
      <c r="D30" s="10" t="n">
        <v>2500000</v>
      </c>
      <c r="E30" s="10" t="n">
        <v>2500000</v>
      </c>
      <c r="F30" s="10" t="n">
        <v>33700800</v>
      </c>
      <c r="G30" s="7"/>
      <c r="H30" s="7" t="s">
        <v>30</v>
      </c>
      <c r="I30" s="7"/>
      <c r="J30" s="7" t="s">
        <v>30</v>
      </c>
      <c r="K30" s="11" t="n">
        <f aca="false">IFERROR(E30/F30,"")</f>
        <v>0.074182215258985</v>
      </c>
      <c r="L30" s="9" t="s">
        <v>93</v>
      </c>
      <c r="M30" s="12"/>
      <c r="N30" s="13"/>
      <c r="O30" s="13"/>
      <c r="P30" s="13"/>
      <c r="Q30" s="11" t="str">
        <f aca="false">IF(M30="","",IFERROR(E30/M30,""))</f>
        <v/>
      </c>
      <c r="R30" s="14" t="str">
        <f aca="false">IF(M30="","",IFERROR(F30/M30,""))</f>
        <v/>
      </c>
      <c r="S30" s="13"/>
    </row>
    <row r="31" customFormat="false" ht="15" hidden="false" customHeight="false" outlineLevel="0" collapsed="false">
      <c r="A31" s="7" t="s">
        <v>94</v>
      </c>
      <c r="B31" s="7" t="s">
        <v>67</v>
      </c>
      <c r="C31" s="7" t="n">
        <v>1</v>
      </c>
      <c r="D31" s="10" t="n">
        <v>830000</v>
      </c>
      <c r="E31" s="10" t="n">
        <v>830000</v>
      </c>
      <c r="F31" s="10" t="n">
        <v>24800000</v>
      </c>
      <c r="G31" s="7" t="s">
        <v>132</v>
      </c>
      <c r="H31" s="7" t="s">
        <v>133</v>
      </c>
      <c r="I31" s="7" t="s">
        <v>139</v>
      </c>
      <c r="J31" s="7" t="s">
        <v>54</v>
      </c>
      <c r="K31" s="11" t="n">
        <f aca="false">IFERROR(E31/F31,"")</f>
        <v>0.0334677419354839</v>
      </c>
      <c r="L31" s="9" t="s">
        <v>95</v>
      </c>
      <c r="M31" s="12"/>
      <c r="N31" s="13"/>
      <c r="O31" s="13"/>
      <c r="P31" s="13"/>
      <c r="Q31" s="11" t="str">
        <f aca="false">IF(M31="","",IFERROR(E31/M31,""))</f>
        <v/>
      </c>
      <c r="R31" s="14" t="str">
        <f aca="false">IF(M31="","",IFERROR(F31/M31,""))</f>
        <v/>
      </c>
      <c r="S31" s="13"/>
    </row>
    <row r="32" customFormat="false" ht="15" hidden="false" customHeight="false" outlineLevel="0" collapsed="false">
      <c r="A32" s="7" t="s">
        <v>96</v>
      </c>
      <c r="B32" s="7" t="s">
        <v>97</v>
      </c>
      <c r="C32" s="7" t="n">
        <v>1</v>
      </c>
      <c r="D32" s="10" t="n">
        <v>443000</v>
      </c>
      <c r="E32" s="10" t="n">
        <v>443000</v>
      </c>
      <c r="F32" s="10" t="n">
        <v>20746000</v>
      </c>
      <c r="G32" s="7"/>
      <c r="H32" s="7" t="s">
        <v>30</v>
      </c>
      <c r="I32" s="7"/>
      <c r="J32" s="7" t="s">
        <v>30</v>
      </c>
      <c r="K32" s="11" t="n">
        <f aca="false">IFERROR(E32/F32,"")</f>
        <v>0.0213535139303962</v>
      </c>
      <c r="L32" s="9" t="s">
        <v>98</v>
      </c>
      <c r="M32" s="12"/>
      <c r="N32" s="13"/>
      <c r="O32" s="13"/>
      <c r="P32" s="13"/>
      <c r="Q32" s="11" t="str">
        <f aca="false">IF(M32="","",IFERROR(E32/M32,""))</f>
        <v/>
      </c>
      <c r="R32" s="14" t="str">
        <f aca="false">IF(M32="","",IFERROR(F32/M32,""))</f>
        <v/>
      </c>
      <c r="S32" s="13"/>
    </row>
    <row r="33" customFormat="false" ht="22.35" hidden="false" customHeight="false" outlineLevel="0" collapsed="false">
      <c r="A33" s="7" t="s">
        <v>99</v>
      </c>
      <c r="B33" s="7" t="s">
        <v>100</v>
      </c>
      <c r="C33" s="7" t="n">
        <v>1</v>
      </c>
      <c r="D33" s="10" t="n">
        <v>61500</v>
      </c>
      <c r="E33" s="10" t="n">
        <v>61500</v>
      </c>
      <c r="F33" s="10" t="n">
        <v>2000000</v>
      </c>
      <c r="G33" s="7"/>
      <c r="H33" s="7" t="s">
        <v>30</v>
      </c>
      <c r="I33" s="7"/>
      <c r="J33" s="7" t="s">
        <v>30</v>
      </c>
      <c r="K33" s="11" t="n">
        <f aca="false">IFERROR(E33/F33,"")</f>
        <v>0.03075</v>
      </c>
      <c r="L33" s="9" t="s">
        <v>101</v>
      </c>
      <c r="M33" s="12"/>
      <c r="N33" s="13"/>
      <c r="O33" s="13"/>
      <c r="P33" s="13"/>
      <c r="Q33" s="11" t="str">
        <f aca="false">IF(M33="","",IFERROR(E33/M33,""))</f>
        <v/>
      </c>
      <c r="R33" s="14" t="str">
        <f aca="false">IF(M33="","",IFERROR(F33/M33,""))</f>
        <v/>
      </c>
      <c r="S33" s="13"/>
    </row>
    <row r="34" customFormat="false" ht="32.8" hidden="false" customHeight="false" outlineLevel="0" collapsed="false">
      <c r="A34" s="7" t="s">
        <v>102</v>
      </c>
      <c r="B34" s="7" t="s">
        <v>29</v>
      </c>
      <c r="C34" s="7" t="n">
        <v>1</v>
      </c>
      <c r="D34" s="10" t="n">
        <v>2000000</v>
      </c>
      <c r="E34" s="10" t="n">
        <v>2000000</v>
      </c>
      <c r="F34" s="10" t="n">
        <v>2000000</v>
      </c>
      <c r="G34" s="7"/>
      <c r="H34" s="7" t="s">
        <v>30</v>
      </c>
      <c r="I34" s="7"/>
      <c r="J34" s="7" t="s">
        <v>30</v>
      </c>
      <c r="K34" s="11" t="n">
        <f aca="false">IFERROR(E34/F34,"")</f>
        <v>1</v>
      </c>
      <c r="L34" s="9" t="s">
        <v>103</v>
      </c>
      <c r="M34" s="12"/>
      <c r="N34" s="13"/>
      <c r="O34" s="13"/>
      <c r="P34" s="13"/>
      <c r="Q34" s="11" t="str">
        <f aca="false">IF(M34="","",IFERROR(E34/M34,""))</f>
        <v/>
      </c>
      <c r="R34" s="14" t="str">
        <f aca="false">IF(M34="","",IFERROR(F34/M34,""))</f>
        <v/>
      </c>
      <c r="S34" s="13"/>
    </row>
    <row r="35" customFormat="false" ht="15" hidden="false" customHeight="false" outlineLevel="0" collapsed="false">
      <c r="A35" s="7" t="s">
        <v>104</v>
      </c>
      <c r="B35" s="7" t="s">
        <v>105</v>
      </c>
      <c r="C35" s="7" t="n">
        <v>1</v>
      </c>
      <c r="D35" s="10" t="n">
        <v>55400</v>
      </c>
      <c r="E35" s="10" t="n">
        <v>55400</v>
      </c>
      <c r="F35" s="10" t="n">
        <v>1722000</v>
      </c>
      <c r="G35" s="7"/>
      <c r="H35" s="7" t="s">
        <v>30</v>
      </c>
      <c r="I35" s="7"/>
      <c r="J35" s="7" t="s">
        <v>30</v>
      </c>
      <c r="K35" s="11" t="n">
        <f aca="false">IFERROR(E35/F35,"")</f>
        <v>0.0321718931475029</v>
      </c>
      <c r="L35" s="9" t="s">
        <v>106</v>
      </c>
      <c r="M35" s="12"/>
      <c r="N35" s="13"/>
      <c r="O35" s="13"/>
      <c r="P35" s="13"/>
      <c r="Q35" s="11" t="str">
        <f aca="false">IF(M35="","",IFERROR(E35/M35,""))</f>
        <v/>
      </c>
      <c r="R35" s="14" t="str">
        <f aca="false">IF(M35="","",IFERROR(F35/M35,""))</f>
        <v/>
      </c>
      <c r="S35" s="13"/>
    </row>
    <row r="36" customFormat="false" ht="15" hidden="false" customHeight="false" outlineLevel="0" collapsed="false">
      <c r="A36" s="7" t="s">
        <v>107</v>
      </c>
      <c r="B36" s="7" t="s">
        <v>108</v>
      </c>
      <c r="C36" s="7" t="n">
        <v>1</v>
      </c>
      <c r="D36" s="10" t="n">
        <v>750000</v>
      </c>
      <c r="E36" s="10" t="n">
        <v>750000</v>
      </c>
      <c r="F36" s="10" t="n">
        <v>1214000</v>
      </c>
      <c r="G36" s="7" t="s">
        <v>140</v>
      </c>
      <c r="H36" s="7" t="s">
        <v>141</v>
      </c>
      <c r="I36" s="7" t="s">
        <v>142</v>
      </c>
      <c r="J36" s="7" t="s">
        <v>36</v>
      </c>
      <c r="K36" s="11" t="n">
        <f aca="false">IFERROR(E36/F36,"")</f>
        <v>0.617792421746293</v>
      </c>
      <c r="L36" s="9" t="s">
        <v>109</v>
      </c>
      <c r="M36" s="12"/>
      <c r="N36" s="13"/>
      <c r="O36" s="13"/>
      <c r="P36" s="13"/>
      <c r="Q36" s="11" t="str">
        <f aca="false">IF(M36="","",IFERROR(E36/M36,""))</f>
        <v/>
      </c>
      <c r="R36" s="14" t="str">
        <f aca="false">IF(M36="","",IFERROR(F36/M36,""))</f>
        <v/>
      </c>
      <c r="S36" s="13"/>
    </row>
    <row r="37" customFormat="false" ht="15" hidden="false" customHeight="false" outlineLevel="0" collapsed="false">
      <c r="A37" s="7" t="s">
        <v>110</v>
      </c>
      <c r="B37" s="7" t="s">
        <v>49</v>
      </c>
      <c r="C37" s="7" t="n">
        <v>1</v>
      </c>
      <c r="D37" s="10" t="n">
        <v>3000</v>
      </c>
      <c r="E37" s="10" t="n">
        <v>3000</v>
      </c>
      <c r="F37" s="10" t="n">
        <v>116153</v>
      </c>
      <c r="G37" s="7"/>
      <c r="H37" s="7" t="s">
        <v>30</v>
      </c>
      <c r="I37" s="7"/>
      <c r="J37" s="7" t="s">
        <v>30</v>
      </c>
      <c r="K37" s="11" t="n">
        <f aca="false">IFERROR(E37/F37,"")</f>
        <v>0.0258280027205496</v>
      </c>
      <c r="L37" s="9" t="s">
        <v>111</v>
      </c>
      <c r="M37" s="12"/>
      <c r="N37" s="13"/>
      <c r="O37" s="13"/>
      <c r="P37" s="13"/>
      <c r="Q37" s="11" t="str">
        <f aca="false">IF(M37="","",IFERROR(E37/M37,""))</f>
        <v/>
      </c>
      <c r="R37" s="14" t="str">
        <f aca="false">IF(M37="","",IFERROR(F37/M37,""))</f>
        <v/>
      </c>
      <c r="S37" s="13"/>
    </row>
    <row r="38" customFormat="false" ht="15" hidden="false" customHeight="false" outlineLevel="0" collapsed="false">
      <c r="A38" s="7" t="s">
        <v>112</v>
      </c>
      <c r="B38" s="7" t="s">
        <v>113</v>
      </c>
      <c r="C38" s="7" t="n">
        <v>1</v>
      </c>
      <c r="D38" s="10" t="n">
        <v>13450</v>
      </c>
      <c r="E38" s="10" t="n">
        <v>13450</v>
      </c>
      <c r="F38" s="10" t="n">
        <v>53065.35</v>
      </c>
      <c r="G38" s="7"/>
      <c r="H38" s="7" t="s">
        <v>30</v>
      </c>
      <c r="I38" s="7"/>
      <c r="J38" s="7" t="s">
        <v>30</v>
      </c>
      <c r="K38" s="11" t="n">
        <f aca="false">IFERROR(E38/F38,"")</f>
        <v>0.25346106263315</v>
      </c>
      <c r="L38" s="9" t="s">
        <v>114</v>
      </c>
      <c r="M38" s="12"/>
      <c r="N38" s="13"/>
      <c r="O38" s="13"/>
      <c r="P38" s="13"/>
      <c r="Q38" s="11" t="str">
        <f aca="false">IF(M38="","",IFERROR(E38/M38,""))</f>
        <v/>
      </c>
      <c r="R38" s="14" t="str">
        <f aca="false">IF(M38="","",IFERROR(F38/M38,""))</f>
        <v/>
      </c>
      <c r="S38" s="13"/>
    </row>
    <row r="39" customFormat="false" ht="15" hidden="false" customHeight="false" outlineLevel="0" collapsed="false">
      <c r="A39" s="7" t="s">
        <v>143</v>
      </c>
      <c r="B39" s="7" t="s">
        <v>29</v>
      </c>
      <c r="C39" s="7" t="n">
        <v>6</v>
      </c>
      <c r="D39" s="10" t="n">
        <v>222000</v>
      </c>
      <c r="E39" s="10" t="n">
        <v>100000</v>
      </c>
      <c r="F39" s="10" t="n">
        <v>35075873000</v>
      </c>
      <c r="G39" s="7" t="s">
        <v>144</v>
      </c>
      <c r="H39" s="7" t="s">
        <v>145</v>
      </c>
      <c r="I39" s="7"/>
      <c r="J39" s="7" t="s">
        <v>36</v>
      </c>
      <c r="K39" s="11" t="n">
        <f aca="false">IFERROR(E39/F39,"")</f>
        <v>2.85096254054746E-006</v>
      </c>
      <c r="L39" s="15"/>
      <c r="M39" s="12"/>
      <c r="N39" s="13"/>
      <c r="O39" s="13"/>
      <c r="P39" s="13"/>
      <c r="Q39" s="11" t="str">
        <f aca="false">IF(M39="","",IFERROR(E39/M39,""))</f>
        <v/>
      </c>
      <c r="R39" s="14" t="str">
        <f aca="false">IF(M39="","",IFERROR(F39/M39,""))</f>
        <v/>
      </c>
      <c r="S39" s="13"/>
    </row>
    <row r="40" customFormat="false" ht="15" hidden="false" customHeight="false" outlineLevel="0" collapsed="false">
      <c r="A40" s="7" t="s">
        <v>146</v>
      </c>
      <c r="B40" s="7" t="s">
        <v>29</v>
      </c>
      <c r="C40" s="7" t="n">
        <v>4</v>
      </c>
      <c r="D40" s="10" t="n">
        <v>7100000</v>
      </c>
      <c r="E40" s="10" t="n">
        <v>3500000</v>
      </c>
      <c r="F40" s="10" t="n">
        <v>13842440000</v>
      </c>
      <c r="G40" s="7"/>
      <c r="H40" s="7" t="s">
        <v>30</v>
      </c>
      <c r="I40" s="7"/>
      <c r="J40" s="7" t="s">
        <v>30</v>
      </c>
      <c r="K40" s="11" t="n">
        <f aca="false">IFERROR(E40/F40,"")</f>
        <v>0.000252845596585573</v>
      </c>
      <c r="L40" s="15"/>
      <c r="M40" s="12"/>
      <c r="N40" s="13"/>
      <c r="O40" s="13"/>
      <c r="P40" s="13"/>
      <c r="Q40" s="11" t="str">
        <f aca="false">IF(M40="","",IFERROR(E40/M40,""))</f>
        <v/>
      </c>
      <c r="R40" s="14" t="str">
        <f aca="false">IF(M40="","",IFERROR(F40/M40,""))</f>
        <v/>
      </c>
      <c r="S40" s="13"/>
    </row>
    <row r="41" customFormat="false" ht="15" hidden="false" customHeight="false" outlineLevel="0" collapsed="false">
      <c r="A41" s="7" t="s">
        <v>147</v>
      </c>
      <c r="B41" s="7" t="s">
        <v>148</v>
      </c>
      <c r="C41" s="7" t="n">
        <v>3</v>
      </c>
      <c r="D41" s="10" t="n">
        <v>300000000</v>
      </c>
      <c r="E41" s="10" t="n">
        <v>200000000</v>
      </c>
      <c r="F41" s="10" t="n">
        <v>167154800000</v>
      </c>
      <c r="G41" s="7"/>
      <c r="H41" s="7" t="s">
        <v>30</v>
      </c>
      <c r="I41" s="7"/>
      <c r="J41" s="7" t="s">
        <v>30</v>
      </c>
      <c r="K41" s="11" t="n">
        <f aca="false">IFERROR(E41/F41,"")</f>
        <v>0.00119649570338393</v>
      </c>
      <c r="L41" s="15"/>
      <c r="M41" s="12"/>
      <c r="N41" s="13"/>
      <c r="O41" s="13"/>
      <c r="P41" s="13"/>
      <c r="Q41" s="11" t="str">
        <f aca="false">IF(M41="","",IFERROR(E41/M41,""))</f>
        <v/>
      </c>
      <c r="R41" s="14" t="str">
        <f aca="false">IF(M41="","",IFERROR(F41/M41,""))</f>
        <v/>
      </c>
      <c r="S41" s="13"/>
    </row>
    <row r="42" customFormat="false" ht="15" hidden="false" customHeight="false" outlineLevel="0" collapsed="false">
      <c r="A42" s="7" t="s">
        <v>149</v>
      </c>
      <c r="B42" s="7" t="s">
        <v>150</v>
      </c>
      <c r="C42" s="7" t="n">
        <v>3</v>
      </c>
      <c r="D42" s="10" t="n">
        <v>185000028</v>
      </c>
      <c r="E42" s="10" t="n">
        <v>125000000</v>
      </c>
      <c r="F42" s="10" t="n">
        <v>48400000000</v>
      </c>
      <c r="G42" s="7"/>
      <c r="H42" s="7" t="s">
        <v>30</v>
      </c>
      <c r="I42" s="7"/>
      <c r="J42" s="7" t="s">
        <v>30</v>
      </c>
      <c r="K42" s="11" t="n">
        <f aca="false">IFERROR(E42/F42,"")</f>
        <v>0.00258264462809917</v>
      </c>
      <c r="L42" s="15"/>
      <c r="M42" s="12"/>
      <c r="N42" s="13"/>
      <c r="O42" s="13"/>
      <c r="P42" s="13"/>
      <c r="Q42" s="11" t="str">
        <f aca="false">IF(M42="","",IFERROR(E42/M42,""))</f>
        <v/>
      </c>
      <c r="R42" s="14" t="str">
        <f aca="false">IF(M42="","",IFERROR(F42/M42,""))</f>
        <v/>
      </c>
      <c r="S42" s="13"/>
    </row>
    <row r="43" customFormat="false" ht="15" hidden="false" customHeight="false" outlineLevel="0" collapsed="false">
      <c r="A43" s="7" t="s">
        <v>28</v>
      </c>
      <c r="B43" s="7" t="s">
        <v>29</v>
      </c>
      <c r="C43" s="7" t="n">
        <v>3</v>
      </c>
      <c r="D43" s="10" t="n">
        <v>8550000</v>
      </c>
      <c r="E43" s="10" t="n">
        <v>8150000</v>
      </c>
      <c r="F43" s="10" t="n">
        <v>4000000000</v>
      </c>
      <c r="G43" s="7"/>
      <c r="H43" s="7" t="s">
        <v>30</v>
      </c>
      <c r="I43" s="7"/>
      <c r="J43" s="7" t="s">
        <v>30</v>
      </c>
      <c r="K43" s="11" t="n">
        <f aca="false">IFERROR(E43/F43,"")</f>
        <v>0.0020375</v>
      </c>
      <c r="L43" s="15"/>
      <c r="M43" s="12"/>
      <c r="N43" s="13"/>
      <c r="O43" s="13"/>
      <c r="P43" s="13"/>
      <c r="Q43" s="11" t="str">
        <f aca="false">IF(M43="","",IFERROR(E43/M43,""))</f>
        <v/>
      </c>
      <c r="R43" s="14" t="str">
        <f aca="false">IF(M43="","",IFERROR(F43/M43,""))</f>
        <v/>
      </c>
      <c r="S43" s="13"/>
    </row>
    <row r="44" customFormat="false" ht="15" hidden="false" customHeight="false" outlineLevel="0" collapsed="false">
      <c r="A44" s="7" t="s">
        <v>151</v>
      </c>
      <c r="B44" s="7" t="s">
        <v>60</v>
      </c>
      <c r="C44" s="7" t="n">
        <v>3</v>
      </c>
      <c r="D44" s="10" t="n">
        <v>250000</v>
      </c>
      <c r="E44" s="10" t="n">
        <v>210000</v>
      </c>
      <c r="F44" s="10" t="n">
        <v>2800000000</v>
      </c>
      <c r="G44" s="7" t="s">
        <v>137</v>
      </c>
      <c r="H44" s="7" t="s">
        <v>133</v>
      </c>
      <c r="I44" s="7" t="s">
        <v>152</v>
      </c>
      <c r="J44" s="7" t="s">
        <v>36</v>
      </c>
      <c r="K44" s="11" t="n">
        <f aca="false">IFERROR(E44/F44,"")</f>
        <v>7.5E-005</v>
      </c>
      <c r="L44" s="15"/>
      <c r="M44" s="12"/>
      <c r="N44" s="13"/>
      <c r="O44" s="13"/>
      <c r="P44" s="13"/>
      <c r="Q44" s="11" t="str">
        <f aca="false">IF(M44="","",IFERROR(E44/M44,""))</f>
        <v/>
      </c>
      <c r="R44" s="14" t="str">
        <f aca="false">IF(M44="","",IFERROR(F44/M44,""))</f>
        <v/>
      </c>
      <c r="S44" s="13"/>
    </row>
    <row r="45" customFormat="false" ht="15" hidden="false" customHeight="false" outlineLevel="0" collapsed="false">
      <c r="A45" s="7" t="s">
        <v>153</v>
      </c>
      <c r="B45" s="7" t="s">
        <v>70</v>
      </c>
      <c r="C45" s="7" t="n">
        <v>3</v>
      </c>
      <c r="D45" s="10" t="n">
        <v>200000</v>
      </c>
      <c r="E45" s="10" t="n">
        <v>85000</v>
      </c>
      <c r="F45" s="10" t="n">
        <v>995000000</v>
      </c>
      <c r="G45" s="7"/>
      <c r="H45" s="7" t="s">
        <v>30</v>
      </c>
      <c r="I45" s="7"/>
      <c r="J45" s="7" t="s">
        <v>30</v>
      </c>
      <c r="K45" s="11" t="n">
        <f aca="false">IFERROR(E45/F45,"")</f>
        <v>8.5427135678392E-005</v>
      </c>
      <c r="L45" s="15"/>
      <c r="M45" s="12"/>
      <c r="N45" s="13"/>
      <c r="O45" s="13"/>
      <c r="P45" s="13"/>
      <c r="Q45" s="11" t="str">
        <f aca="false">IF(M45="","",IFERROR(E45/M45,""))</f>
        <v/>
      </c>
      <c r="R45" s="14" t="str">
        <f aca="false">IF(M45="","",IFERROR(F45/M45,""))</f>
        <v/>
      </c>
      <c r="S45" s="13"/>
    </row>
    <row r="46" customFormat="false" ht="15" hidden="false" customHeight="false" outlineLevel="0" collapsed="false">
      <c r="A46" s="7" t="s">
        <v>154</v>
      </c>
      <c r="B46" s="7" t="s">
        <v>49</v>
      </c>
      <c r="C46" s="7" t="n">
        <v>3</v>
      </c>
      <c r="D46" s="10" t="n">
        <v>11000</v>
      </c>
      <c r="E46" s="10" t="n">
        <v>6000</v>
      </c>
      <c r="F46" s="10" t="n">
        <v>980000000</v>
      </c>
      <c r="G46" s="7"/>
      <c r="H46" s="7" t="s">
        <v>30</v>
      </c>
      <c r="I46" s="7"/>
      <c r="J46" s="7" t="s">
        <v>30</v>
      </c>
      <c r="K46" s="11" t="n">
        <f aca="false">IFERROR(E46/F46,"")</f>
        <v>6.12244897959184E-006</v>
      </c>
      <c r="L46" s="15"/>
      <c r="M46" s="12"/>
      <c r="N46" s="13"/>
      <c r="O46" s="13"/>
      <c r="P46" s="13"/>
      <c r="Q46" s="11" t="str">
        <f aca="false">IF(M46="","",IFERROR(E46/M46,""))</f>
        <v/>
      </c>
      <c r="R46" s="14" t="str">
        <f aca="false">IF(M46="","",IFERROR(F46/M46,""))</f>
        <v/>
      </c>
      <c r="S46" s="13"/>
    </row>
    <row r="47" customFormat="false" ht="15" hidden="false" customHeight="false" outlineLevel="0" collapsed="false">
      <c r="A47" s="7" t="s">
        <v>155</v>
      </c>
      <c r="B47" s="7" t="s">
        <v>49</v>
      </c>
      <c r="C47" s="7" t="n">
        <v>3</v>
      </c>
      <c r="D47" s="10" t="n">
        <v>9900</v>
      </c>
      <c r="E47" s="10" t="n">
        <v>4000</v>
      </c>
      <c r="F47" s="10" t="n">
        <v>932000000</v>
      </c>
      <c r="G47" s="7"/>
      <c r="H47" s="7" t="s">
        <v>30</v>
      </c>
      <c r="I47" s="7"/>
      <c r="J47" s="7" t="s">
        <v>30</v>
      </c>
      <c r="K47" s="11" t="n">
        <f aca="false">IFERROR(E47/F47,"")</f>
        <v>4.29184549356223E-006</v>
      </c>
      <c r="L47" s="15"/>
      <c r="M47" s="12"/>
      <c r="N47" s="13"/>
      <c r="O47" s="13"/>
      <c r="P47" s="13"/>
      <c r="Q47" s="11" t="str">
        <f aca="false">IF(M47="","",IFERROR(E47/M47,""))</f>
        <v/>
      </c>
      <c r="R47" s="14" t="str">
        <f aca="false">IF(M47="","",IFERROR(F47/M47,""))</f>
        <v/>
      </c>
      <c r="S47" s="13"/>
    </row>
    <row r="48" customFormat="false" ht="15" hidden="false" customHeight="false" outlineLevel="0" collapsed="false">
      <c r="A48" s="7" t="s">
        <v>156</v>
      </c>
      <c r="B48" s="7" t="s">
        <v>29</v>
      </c>
      <c r="C48" s="7" t="n">
        <v>3</v>
      </c>
      <c r="D48" s="10" t="n">
        <v>3270000</v>
      </c>
      <c r="E48" s="10" t="n">
        <v>3000000</v>
      </c>
      <c r="F48" s="10" t="n">
        <v>851671600</v>
      </c>
      <c r="G48" s="7"/>
      <c r="H48" s="7" t="s">
        <v>30</v>
      </c>
      <c r="I48" s="7"/>
      <c r="J48" s="7" t="s">
        <v>30</v>
      </c>
      <c r="K48" s="11" t="n">
        <f aca="false">IFERROR(E48/F48,"")</f>
        <v>0.00352248448815248</v>
      </c>
      <c r="L48" s="15"/>
      <c r="M48" s="12"/>
      <c r="N48" s="13"/>
      <c r="O48" s="13"/>
      <c r="P48" s="13"/>
      <c r="Q48" s="11" t="str">
        <f aca="false">IF(M48="","",IFERROR(E48/M48,""))</f>
        <v/>
      </c>
      <c r="R48" s="14" t="str">
        <f aca="false">IF(M48="","",IFERROR(F48/M48,""))</f>
        <v/>
      </c>
      <c r="S48" s="13"/>
    </row>
    <row r="49" customFormat="false" ht="15" hidden="false" customHeight="false" outlineLevel="0" collapsed="false">
      <c r="A49" s="7" t="s">
        <v>157</v>
      </c>
      <c r="B49" s="7" t="s">
        <v>49</v>
      </c>
      <c r="C49" s="7" t="n">
        <v>2</v>
      </c>
      <c r="D49" s="10" t="n">
        <v>7000</v>
      </c>
      <c r="E49" s="10" t="n">
        <v>4000</v>
      </c>
      <c r="F49" s="10" t="n">
        <v>80327000000</v>
      </c>
      <c r="G49" s="7"/>
      <c r="H49" s="7" t="s">
        <v>30</v>
      </c>
      <c r="I49" s="7"/>
      <c r="J49" s="7" t="s">
        <v>30</v>
      </c>
      <c r="K49" s="11" t="n">
        <f aca="false">IFERROR(E49/F49,"")</f>
        <v>4.97964569820857E-008</v>
      </c>
      <c r="L49" s="15"/>
      <c r="M49" s="12"/>
      <c r="N49" s="13"/>
      <c r="O49" s="13"/>
      <c r="P49" s="13"/>
      <c r="Q49" s="11" t="str">
        <f aca="false">IF(M49="","",IFERROR(E49/M49,""))</f>
        <v/>
      </c>
      <c r="R49" s="14" t="str">
        <f aca="false">IF(M49="","",IFERROR(F49/M49,""))</f>
        <v/>
      </c>
      <c r="S49" s="13"/>
    </row>
    <row r="50" customFormat="false" ht="15" hidden="false" customHeight="false" outlineLevel="0" collapsed="false">
      <c r="A50" s="7" t="s">
        <v>158</v>
      </c>
      <c r="B50" s="7" t="s">
        <v>57</v>
      </c>
      <c r="C50" s="7" t="n">
        <v>2</v>
      </c>
      <c r="D50" s="10" t="n">
        <v>11500000</v>
      </c>
      <c r="E50" s="10" t="n">
        <v>8500000</v>
      </c>
      <c r="F50" s="10" t="n">
        <v>69881000000</v>
      </c>
      <c r="G50" s="7"/>
      <c r="H50" s="7" t="s">
        <v>30</v>
      </c>
      <c r="I50" s="7"/>
      <c r="J50" s="7" t="s">
        <v>30</v>
      </c>
      <c r="K50" s="11" t="n">
        <f aca="false">IFERROR(E50/F50,"")</f>
        <v>0.000121635351526166</v>
      </c>
      <c r="L50" s="15"/>
      <c r="M50" s="12"/>
      <c r="N50" s="13"/>
      <c r="O50" s="13"/>
      <c r="P50" s="13"/>
      <c r="Q50" s="11" t="str">
        <f aca="false">IF(M50="","",IFERROR(E50/M50,""))</f>
        <v/>
      </c>
      <c r="R50" s="14" t="str">
        <f aca="false">IF(M50="","",IFERROR(F50/M50,""))</f>
        <v/>
      </c>
      <c r="S50" s="13"/>
    </row>
    <row r="51" customFormat="false" ht="15" hidden="false" customHeight="false" outlineLevel="0" collapsed="false">
      <c r="A51" s="7" t="s">
        <v>159</v>
      </c>
      <c r="B51" s="7" t="s">
        <v>97</v>
      </c>
      <c r="C51" s="7" t="n">
        <v>2</v>
      </c>
      <c r="D51" s="10" t="n">
        <v>443000</v>
      </c>
      <c r="E51" s="10" t="n">
        <v>326000</v>
      </c>
      <c r="F51" s="10" t="n">
        <v>57647000000</v>
      </c>
      <c r="G51" s="7" t="s">
        <v>132</v>
      </c>
      <c r="H51" s="7" t="s">
        <v>141</v>
      </c>
      <c r="I51" s="7" t="s">
        <v>160</v>
      </c>
      <c r="J51" s="7" t="s">
        <v>36</v>
      </c>
      <c r="K51" s="11" t="n">
        <f aca="false">IFERROR(E51/F51,"")</f>
        <v>5.6551078113345E-006</v>
      </c>
      <c r="L51" s="15"/>
      <c r="M51" s="12"/>
      <c r="N51" s="13"/>
      <c r="O51" s="13"/>
      <c r="P51" s="13"/>
      <c r="Q51" s="11" t="str">
        <f aca="false">IF(M51="","",IFERROR(E51/M51,""))</f>
        <v/>
      </c>
      <c r="R51" s="14" t="str">
        <f aca="false">IF(M51="","",IFERROR(F51/M51,""))</f>
        <v/>
      </c>
      <c r="S51" s="13"/>
    </row>
    <row r="52" customFormat="false" ht="15" hidden="false" customHeight="false" outlineLevel="0" collapsed="false">
      <c r="A52" s="7" t="s">
        <v>161</v>
      </c>
      <c r="B52" s="7" t="s">
        <v>70</v>
      </c>
      <c r="C52" s="7" t="n">
        <v>2</v>
      </c>
      <c r="D52" s="10" t="n">
        <v>230500000</v>
      </c>
      <c r="E52" s="10" t="n">
        <v>225000000</v>
      </c>
      <c r="F52" s="10" t="n">
        <v>45000000000</v>
      </c>
      <c r="G52" s="7" t="s">
        <v>162</v>
      </c>
      <c r="H52" s="7" t="s">
        <v>145</v>
      </c>
      <c r="I52" s="7" t="s">
        <v>163</v>
      </c>
      <c r="J52" s="7" t="s">
        <v>36</v>
      </c>
      <c r="K52" s="11" t="n">
        <f aca="false">IFERROR(E52/F52,"")</f>
        <v>0.005</v>
      </c>
      <c r="L52" s="15"/>
      <c r="M52" s="12"/>
      <c r="N52" s="13"/>
      <c r="O52" s="13"/>
      <c r="P52" s="13"/>
      <c r="Q52" s="11" t="str">
        <f aca="false">IF(M52="","",IFERROR(E52/M52,""))</f>
        <v/>
      </c>
      <c r="R52" s="14" t="str">
        <f aca="false">IF(M52="","",IFERROR(F52/M52,""))</f>
        <v/>
      </c>
      <c r="S52" s="13"/>
    </row>
    <row r="53" customFormat="false" ht="15" hidden="false" customHeight="false" outlineLevel="0" collapsed="false">
      <c r="A53" s="7" t="s">
        <v>164</v>
      </c>
      <c r="B53" s="7" t="s">
        <v>29</v>
      </c>
      <c r="C53" s="7" t="n">
        <v>2</v>
      </c>
      <c r="D53" s="10" t="n">
        <v>60000</v>
      </c>
      <c r="E53" s="10" t="n">
        <v>30000</v>
      </c>
      <c r="F53" s="10" t="n">
        <v>40652000000</v>
      </c>
      <c r="G53" s="7" t="s">
        <v>132</v>
      </c>
      <c r="H53" s="7" t="s">
        <v>133</v>
      </c>
      <c r="I53" s="7"/>
      <c r="J53" s="7" t="s">
        <v>165</v>
      </c>
      <c r="K53" s="11" t="n">
        <f aca="false">IFERROR(E53/F53,"")</f>
        <v>7.37971071533996E-007</v>
      </c>
      <c r="L53" s="15"/>
      <c r="M53" s="12"/>
      <c r="N53" s="13"/>
      <c r="O53" s="13"/>
      <c r="P53" s="13"/>
      <c r="Q53" s="11" t="str">
        <f aca="false">IF(M53="","",IFERROR(E53/M53,""))</f>
        <v/>
      </c>
      <c r="R53" s="14" t="str">
        <f aca="false">IF(M53="","",IFERROR(F53/M53,""))</f>
        <v/>
      </c>
      <c r="S53" s="13"/>
    </row>
    <row r="54" customFormat="false" ht="15" hidden="false" customHeight="false" outlineLevel="0" collapsed="false">
      <c r="A54" s="7" t="s">
        <v>166</v>
      </c>
      <c r="B54" s="7" t="s">
        <v>29</v>
      </c>
      <c r="C54" s="7" t="n">
        <v>2</v>
      </c>
      <c r="D54" s="10" t="n">
        <v>135000</v>
      </c>
      <c r="E54" s="10" t="n">
        <v>90000</v>
      </c>
      <c r="F54" s="10" t="n">
        <v>40652000000</v>
      </c>
      <c r="G54" s="7" t="s">
        <v>132</v>
      </c>
      <c r="H54" s="7" t="s">
        <v>135</v>
      </c>
      <c r="I54" s="7" t="s">
        <v>167</v>
      </c>
      <c r="J54" s="7" t="s">
        <v>36</v>
      </c>
      <c r="K54" s="11" t="n">
        <f aca="false">IFERROR(E54/F54,"")</f>
        <v>2.21391321460199E-006</v>
      </c>
      <c r="L54" s="15"/>
      <c r="M54" s="12"/>
      <c r="N54" s="13"/>
      <c r="O54" s="13"/>
      <c r="P54" s="13"/>
      <c r="Q54" s="11" t="str">
        <f aca="false">IF(M54="","",IFERROR(E54/M54,""))</f>
        <v/>
      </c>
      <c r="R54" s="14" t="str">
        <f aca="false">IF(M54="","",IFERROR(F54/M54,""))</f>
        <v/>
      </c>
      <c r="S54" s="13"/>
    </row>
    <row r="55" customFormat="false" ht="15" hidden="false" customHeight="false" outlineLevel="0" collapsed="false">
      <c r="A55" s="7" t="s">
        <v>168</v>
      </c>
      <c r="B55" s="7" t="s">
        <v>57</v>
      </c>
      <c r="C55" s="7" t="n">
        <v>2</v>
      </c>
      <c r="D55" s="10" t="n">
        <v>70000</v>
      </c>
      <c r="E55" s="10" t="n">
        <v>60000</v>
      </c>
      <c r="F55" s="10" t="n">
        <v>39757208000</v>
      </c>
      <c r="G55" s="7"/>
      <c r="H55" s="7" t="s">
        <v>30</v>
      </c>
      <c r="I55" s="7"/>
      <c r="J55" s="7" t="s">
        <v>30</v>
      </c>
      <c r="K55" s="11" t="n">
        <f aca="false">IFERROR(E55/F55,"")</f>
        <v>1.5091603011962E-006</v>
      </c>
      <c r="L55" s="15"/>
      <c r="M55" s="12"/>
      <c r="N55" s="13"/>
      <c r="O55" s="13"/>
      <c r="P55" s="13"/>
      <c r="Q55" s="11" t="str">
        <f aca="false">IF(M55="","",IFERROR(E55/M55,""))</f>
        <v/>
      </c>
      <c r="R55" s="14" t="str">
        <f aca="false">IF(M55="","",IFERROR(F55/M55,""))</f>
        <v/>
      </c>
      <c r="S55" s="13"/>
    </row>
    <row r="56" customFormat="false" ht="15" hidden="false" customHeight="false" outlineLevel="0" collapsed="false">
      <c r="A56" s="15" t="s">
        <v>169</v>
      </c>
      <c r="B56" s="7" t="s">
        <v>67</v>
      </c>
      <c r="C56" s="7" t="n">
        <v>2</v>
      </c>
      <c r="D56" s="10" t="n">
        <v>300000000</v>
      </c>
      <c r="E56" s="10" t="n">
        <v>290000000</v>
      </c>
      <c r="F56" s="10" t="n">
        <v>29648000000</v>
      </c>
      <c r="G56" s="7"/>
      <c r="H56" s="7" t="s">
        <v>30</v>
      </c>
      <c r="I56" s="7"/>
      <c r="J56" s="7" t="s">
        <v>30</v>
      </c>
      <c r="K56" s="11" t="n">
        <f aca="false">IFERROR(E56/F56,"")</f>
        <v>0.00978143550998381</v>
      </c>
      <c r="L56" s="15"/>
      <c r="M56" s="12"/>
      <c r="N56" s="13"/>
      <c r="O56" s="13"/>
      <c r="P56" s="13"/>
      <c r="Q56" s="11" t="str">
        <f aca="false">IF(M56="","",IFERROR(E56/M56,""))</f>
        <v/>
      </c>
      <c r="R56" s="14" t="str">
        <f aca="false">IF(M56="","",IFERROR(F56/M56,""))</f>
        <v/>
      </c>
      <c r="S56" s="13"/>
    </row>
    <row r="57" customFormat="false" ht="15" hidden="false" customHeight="false" outlineLevel="0" collapsed="false">
      <c r="A57" s="7" t="s">
        <v>170</v>
      </c>
      <c r="B57" s="7" t="s">
        <v>44</v>
      </c>
      <c r="C57" s="7" t="n">
        <v>2</v>
      </c>
      <c r="D57" s="10" t="n">
        <v>124000</v>
      </c>
      <c r="E57" s="10" t="n">
        <v>100000</v>
      </c>
      <c r="F57" s="10" t="n">
        <v>26240000000</v>
      </c>
      <c r="G57" s="7"/>
      <c r="H57" s="7" t="s">
        <v>30</v>
      </c>
      <c r="I57" s="7"/>
      <c r="J57" s="7" t="s">
        <v>30</v>
      </c>
      <c r="K57" s="11" t="n">
        <f aca="false">IFERROR(E57/F57,"")</f>
        <v>3.8109756097561E-006</v>
      </c>
      <c r="L57" s="15"/>
      <c r="M57" s="12"/>
      <c r="N57" s="13"/>
      <c r="O57" s="13"/>
      <c r="P57" s="13"/>
      <c r="Q57" s="11" t="str">
        <f aca="false">IF(M57="","",IFERROR(E57/M57,""))</f>
        <v/>
      </c>
      <c r="R57" s="14" t="str">
        <f aca="false">IF(M57="","",IFERROR(F57/M57,""))</f>
        <v/>
      </c>
      <c r="S57" s="13"/>
    </row>
    <row r="58" customFormat="false" ht="15" hidden="false" customHeight="false" outlineLevel="0" collapsed="false">
      <c r="A58" s="7" t="s">
        <v>171</v>
      </c>
      <c r="B58" s="7" t="s">
        <v>57</v>
      </c>
      <c r="C58" s="7" t="n">
        <v>2</v>
      </c>
      <c r="D58" s="10" t="n">
        <v>7781175</v>
      </c>
      <c r="E58" s="10" t="n">
        <v>7631175</v>
      </c>
      <c r="F58" s="10" t="n">
        <v>23830000000</v>
      </c>
      <c r="G58" s="7"/>
      <c r="H58" s="7" t="s">
        <v>30</v>
      </c>
      <c r="I58" s="7"/>
      <c r="J58" s="7" t="s">
        <v>30</v>
      </c>
      <c r="K58" s="11" t="n">
        <f aca="false">IFERROR(E58/F58,"")</f>
        <v>0.000320233948804029</v>
      </c>
      <c r="L58" s="15"/>
      <c r="M58" s="12"/>
      <c r="N58" s="13"/>
      <c r="O58" s="13"/>
      <c r="P58" s="13"/>
      <c r="Q58" s="11" t="str">
        <f aca="false">IF(M58="","",IFERROR(E58/M58,""))</f>
        <v/>
      </c>
      <c r="R58" s="14" t="str">
        <f aca="false">IF(M58="","",IFERROR(F58/M58,""))</f>
        <v/>
      </c>
      <c r="S58" s="13"/>
    </row>
    <row r="59" customFormat="false" ht="15" hidden="false" customHeight="false" outlineLevel="0" collapsed="false">
      <c r="A59" s="7" t="s">
        <v>172</v>
      </c>
      <c r="B59" s="7" t="s">
        <v>173</v>
      </c>
      <c r="C59" s="7" t="n">
        <v>2</v>
      </c>
      <c r="D59" s="10" t="n">
        <v>15250000</v>
      </c>
      <c r="E59" s="10" t="n">
        <v>14500000</v>
      </c>
      <c r="F59" s="10" t="n">
        <v>23000000000</v>
      </c>
      <c r="G59" s="7"/>
      <c r="H59" s="7" t="s">
        <v>30</v>
      </c>
      <c r="I59" s="7"/>
      <c r="J59" s="7" t="s">
        <v>30</v>
      </c>
      <c r="K59" s="11" t="n">
        <f aca="false">IFERROR(E59/F59,"")</f>
        <v>0.000630434782608696</v>
      </c>
      <c r="L59" s="15"/>
      <c r="M59" s="12"/>
      <c r="N59" s="13"/>
      <c r="O59" s="13"/>
      <c r="P59" s="13"/>
      <c r="Q59" s="11" t="str">
        <f aca="false">IF(M59="","",IFERROR(E59/M59,""))</f>
        <v/>
      </c>
      <c r="R59" s="14" t="str">
        <f aca="false">IF(M59="","",IFERROR(F59/M59,""))</f>
        <v/>
      </c>
      <c r="S59" s="13"/>
    </row>
    <row r="60" customFormat="false" ht="15" hidden="false" customHeight="false" outlineLevel="0" collapsed="false">
      <c r="A60" s="7" t="s">
        <v>174</v>
      </c>
      <c r="B60" s="7" t="s">
        <v>57</v>
      </c>
      <c r="C60" s="7" t="n">
        <v>2</v>
      </c>
      <c r="D60" s="10" t="n">
        <v>2870000</v>
      </c>
      <c r="E60" s="10" t="n">
        <v>2800000</v>
      </c>
      <c r="F60" s="10" t="n">
        <v>18000000000</v>
      </c>
      <c r="G60" s="7"/>
      <c r="H60" s="7" t="s">
        <v>30</v>
      </c>
      <c r="I60" s="7"/>
      <c r="J60" s="7" t="s">
        <v>30</v>
      </c>
      <c r="K60" s="11" t="n">
        <f aca="false">IFERROR(E60/F60,"")</f>
        <v>0.000155555555555556</v>
      </c>
      <c r="L60" s="15"/>
      <c r="M60" s="12"/>
      <c r="N60" s="13"/>
      <c r="O60" s="13"/>
      <c r="P60" s="13"/>
      <c r="Q60" s="11" t="str">
        <f aca="false">IF(M60="","",IFERROR(E60/M60,""))</f>
        <v/>
      </c>
      <c r="R60" s="14" t="str">
        <f aca="false">IF(M60="","",IFERROR(F60/M60,""))</f>
        <v/>
      </c>
      <c r="S60" s="13"/>
    </row>
    <row r="61" customFormat="false" ht="15" hidden="false" customHeight="false" outlineLevel="0" collapsed="false">
      <c r="A61" s="7" t="s">
        <v>51</v>
      </c>
      <c r="B61" s="7" t="s">
        <v>29</v>
      </c>
      <c r="C61" s="7" t="n">
        <v>2</v>
      </c>
      <c r="D61" s="10" t="n">
        <v>96000</v>
      </c>
      <c r="E61" s="10" t="n">
        <v>48000</v>
      </c>
      <c r="F61" s="10" t="n">
        <v>14100000000.82</v>
      </c>
      <c r="G61" s="7"/>
      <c r="H61" s="7" t="s">
        <v>30</v>
      </c>
      <c r="I61" s="7"/>
      <c r="J61" s="7" t="s">
        <v>30</v>
      </c>
      <c r="K61" s="11" t="n">
        <f aca="false">IFERROR(E61/F61,"")</f>
        <v>3.40425531895096E-006</v>
      </c>
      <c r="L61" s="15"/>
      <c r="M61" s="12"/>
      <c r="N61" s="13"/>
      <c r="O61" s="13"/>
      <c r="P61" s="13"/>
      <c r="Q61" s="11" t="str">
        <f aca="false">IF(M61="","",IFERROR(E61/M61,""))</f>
        <v/>
      </c>
      <c r="R61" s="14" t="str">
        <f aca="false">IF(M61="","",IFERROR(F61/M61,""))</f>
        <v/>
      </c>
      <c r="S61" s="13"/>
    </row>
    <row r="62" customFormat="false" ht="15" hidden="false" customHeight="false" outlineLevel="0" collapsed="false">
      <c r="A62" s="7" t="s">
        <v>175</v>
      </c>
      <c r="B62" s="7" t="s">
        <v>176</v>
      </c>
      <c r="C62" s="7" t="n">
        <v>2</v>
      </c>
      <c r="D62" s="10" t="n">
        <v>2628100</v>
      </c>
      <c r="E62" s="10" t="n">
        <v>2600000</v>
      </c>
      <c r="F62" s="10" t="n">
        <v>13143127997.85</v>
      </c>
      <c r="G62" s="7"/>
      <c r="H62" s="7" t="s">
        <v>30</v>
      </c>
      <c r="I62" s="7"/>
      <c r="J62" s="7" t="s">
        <v>30</v>
      </c>
      <c r="K62" s="11" t="n">
        <f aca="false">IFERROR(E62/F62,"")</f>
        <v>0.000197822010135283</v>
      </c>
      <c r="L62" s="15"/>
      <c r="M62" s="12"/>
      <c r="N62" s="13"/>
      <c r="O62" s="13"/>
      <c r="P62" s="13"/>
      <c r="Q62" s="11" t="str">
        <f aca="false">IF(M62="","",IFERROR(E62/M62,""))</f>
        <v/>
      </c>
      <c r="R62" s="14" t="str">
        <f aca="false">IF(M62="","",IFERROR(F62/M62,""))</f>
        <v/>
      </c>
      <c r="S62" s="13"/>
    </row>
    <row r="63" customFormat="false" ht="15" hidden="false" customHeight="false" outlineLevel="0" collapsed="false">
      <c r="A63" s="7" t="s">
        <v>177</v>
      </c>
      <c r="B63" s="7" t="s">
        <v>178</v>
      </c>
      <c r="C63" s="7" t="n">
        <v>2</v>
      </c>
      <c r="D63" s="10" t="n">
        <v>27300000</v>
      </c>
      <c r="E63" s="10" t="n">
        <v>27000000</v>
      </c>
      <c r="F63" s="10" t="n">
        <v>9240000000</v>
      </c>
      <c r="G63" s="7" t="s">
        <v>132</v>
      </c>
      <c r="H63" s="7" t="s">
        <v>141</v>
      </c>
      <c r="I63" s="7" t="s">
        <v>179</v>
      </c>
      <c r="J63" s="7" t="s">
        <v>36</v>
      </c>
      <c r="K63" s="11" t="n">
        <f aca="false">IFERROR(E63/F63,"")</f>
        <v>0.00292207792207792</v>
      </c>
      <c r="L63" s="15"/>
      <c r="M63" s="12"/>
      <c r="N63" s="13"/>
      <c r="O63" s="13"/>
      <c r="P63" s="13"/>
      <c r="Q63" s="11" t="str">
        <f aca="false">IF(M63="","",IFERROR(E63/M63,""))</f>
        <v/>
      </c>
      <c r="R63" s="14" t="str">
        <f aca="false">IF(M63="","",IFERROR(F63/M63,""))</f>
        <v/>
      </c>
      <c r="S63" s="13"/>
    </row>
    <row r="64" customFormat="false" ht="15" hidden="false" customHeight="false" outlineLevel="0" collapsed="false">
      <c r="A64" s="7" t="s">
        <v>28</v>
      </c>
      <c r="B64" s="7" t="s">
        <v>29</v>
      </c>
      <c r="C64" s="7" t="n">
        <v>2</v>
      </c>
      <c r="D64" s="10" t="n">
        <v>84000</v>
      </c>
      <c r="E64" s="10" t="n">
        <v>42000</v>
      </c>
      <c r="F64" s="10" t="n">
        <v>4978000000</v>
      </c>
      <c r="G64" s="7"/>
      <c r="H64" s="7" t="s">
        <v>30</v>
      </c>
      <c r="I64" s="7"/>
      <c r="J64" s="7" t="s">
        <v>30</v>
      </c>
      <c r="K64" s="11" t="n">
        <f aca="false">IFERROR(E64/F64,"")</f>
        <v>8.43712334270792E-006</v>
      </c>
      <c r="L64" s="15"/>
      <c r="M64" s="12"/>
      <c r="N64" s="13"/>
      <c r="O64" s="13"/>
      <c r="P64" s="13"/>
      <c r="Q64" s="11" t="str">
        <f aca="false">IF(M64="","",IFERROR(E64/M64,""))</f>
        <v/>
      </c>
      <c r="R64" s="14" t="str">
        <f aca="false">IF(M64="","",IFERROR(F64/M64,""))</f>
        <v/>
      </c>
      <c r="S64" s="13"/>
    </row>
    <row r="65" customFormat="false" ht="15" hidden="false" customHeight="false" outlineLevel="0" collapsed="false">
      <c r="A65" s="7" t="s">
        <v>180</v>
      </c>
      <c r="B65" s="7" t="s">
        <v>57</v>
      </c>
      <c r="C65" s="7" t="n">
        <v>2</v>
      </c>
      <c r="D65" s="10" t="n">
        <v>520000</v>
      </c>
      <c r="E65" s="10" t="n">
        <v>420000</v>
      </c>
      <c r="F65" s="10" t="n">
        <v>4328000000</v>
      </c>
      <c r="G65" s="7" t="s">
        <v>132</v>
      </c>
      <c r="H65" s="7" t="s">
        <v>133</v>
      </c>
      <c r="I65" s="7" t="s">
        <v>181</v>
      </c>
      <c r="J65" s="7" t="s">
        <v>165</v>
      </c>
      <c r="K65" s="11" t="n">
        <f aca="false">IFERROR(E65/F65,"")</f>
        <v>9.70425138632163E-005</v>
      </c>
      <c r="L65" s="15"/>
      <c r="M65" s="12"/>
      <c r="N65" s="13"/>
      <c r="O65" s="13"/>
      <c r="P65" s="13"/>
      <c r="Q65" s="11" t="str">
        <f aca="false">IF(M65="","",IFERROR(E65/M65,""))</f>
        <v/>
      </c>
      <c r="R65" s="14" t="str">
        <f aca="false">IF(M65="","",IFERROR(F65/M65,""))</f>
        <v/>
      </c>
      <c r="S65" s="13"/>
    </row>
    <row r="66" customFormat="false" ht="15" hidden="false" customHeight="false" outlineLevel="0" collapsed="false">
      <c r="A66" s="7" t="s">
        <v>182</v>
      </c>
      <c r="B66" s="7" t="s">
        <v>57</v>
      </c>
      <c r="C66" s="7" t="n">
        <v>2</v>
      </c>
      <c r="D66" s="10" t="n">
        <v>4138388</v>
      </c>
      <c r="E66" s="10" t="n">
        <v>3296326</v>
      </c>
      <c r="F66" s="10" t="n">
        <v>3036000000</v>
      </c>
      <c r="G66" s="7"/>
      <c r="H66" s="7" t="s">
        <v>30</v>
      </c>
      <c r="I66" s="7"/>
      <c r="J66" s="7" t="s">
        <v>30</v>
      </c>
      <c r="K66" s="11" t="n">
        <f aca="false">IFERROR(E66/F66,"")</f>
        <v>0.00108574637681159</v>
      </c>
      <c r="L66" s="15"/>
      <c r="M66" s="12"/>
      <c r="N66" s="13"/>
      <c r="O66" s="13"/>
      <c r="P66" s="13"/>
      <c r="Q66" s="11" t="str">
        <f aca="false">IF(M66="","",IFERROR(E66/M66,""))</f>
        <v/>
      </c>
      <c r="R66" s="14" t="str">
        <f aca="false">IF(M66="","",IFERROR(F66/M66,""))</f>
        <v/>
      </c>
      <c r="S66" s="13"/>
    </row>
    <row r="67" customFormat="false" ht="15" hidden="false" customHeight="false" outlineLevel="0" collapsed="false">
      <c r="A67" s="7" t="s">
        <v>183</v>
      </c>
      <c r="B67" s="7" t="s">
        <v>60</v>
      </c>
      <c r="C67" s="7" t="n">
        <v>2</v>
      </c>
      <c r="D67" s="10" t="n">
        <v>70000</v>
      </c>
      <c r="E67" s="10" t="n">
        <v>50000</v>
      </c>
      <c r="F67" s="10" t="n">
        <v>2800000000</v>
      </c>
      <c r="G67" s="7" t="s">
        <v>137</v>
      </c>
      <c r="H67" s="7" t="s">
        <v>133</v>
      </c>
      <c r="I67" s="7" t="s">
        <v>152</v>
      </c>
      <c r="J67" s="7" t="s">
        <v>36</v>
      </c>
      <c r="K67" s="11" t="n">
        <f aca="false">IFERROR(E67/F67,"")</f>
        <v>1.78571428571429E-005</v>
      </c>
      <c r="L67" s="15"/>
      <c r="M67" s="12"/>
      <c r="N67" s="13"/>
      <c r="O67" s="13"/>
      <c r="P67" s="13"/>
      <c r="Q67" s="11" t="str">
        <f aca="false">IF(M67="","",IFERROR(E67/M67,""))</f>
        <v/>
      </c>
      <c r="R67" s="14" t="str">
        <f aca="false">IF(M67="","",IFERROR(F67/M67,""))</f>
        <v/>
      </c>
      <c r="S67" s="13"/>
    </row>
    <row r="68" customFormat="false" ht="15" hidden="false" customHeight="false" outlineLevel="0" collapsed="false">
      <c r="A68" s="7" t="s">
        <v>184</v>
      </c>
      <c r="B68" s="7" t="s">
        <v>185</v>
      </c>
      <c r="C68" s="7" t="n">
        <v>2</v>
      </c>
      <c r="D68" s="10" t="n">
        <v>25500000</v>
      </c>
      <c r="E68" s="10" t="n">
        <v>16000000</v>
      </c>
      <c r="F68" s="10" t="n">
        <v>2189200000</v>
      </c>
      <c r="G68" s="7"/>
      <c r="H68" s="7" t="s">
        <v>30</v>
      </c>
      <c r="I68" s="7"/>
      <c r="J68" s="7" t="s">
        <v>30</v>
      </c>
      <c r="K68" s="11" t="n">
        <f aca="false">IFERROR(E68/F68,"")</f>
        <v>0.00730860588342774</v>
      </c>
      <c r="L68" s="15"/>
      <c r="M68" s="12"/>
      <c r="N68" s="13"/>
      <c r="O68" s="13"/>
      <c r="P68" s="13"/>
      <c r="Q68" s="11" t="str">
        <f aca="false">IF(M68="","",IFERROR(E68/M68,""))</f>
        <v/>
      </c>
      <c r="R68" s="14" t="str">
        <f aca="false">IF(M68="","",IFERROR(F68/M68,""))</f>
        <v/>
      </c>
      <c r="S68" s="13"/>
    </row>
    <row r="69" customFormat="false" ht="15" hidden="false" customHeight="false" outlineLevel="0" collapsed="false">
      <c r="A69" s="7" t="s">
        <v>186</v>
      </c>
      <c r="B69" s="7" t="s">
        <v>29</v>
      </c>
      <c r="C69" s="7" t="n">
        <v>2</v>
      </c>
      <c r="D69" s="10" t="n">
        <v>1575000</v>
      </c>
      <c r="E69" s="10" t="n">
        <v>1500000</v>
      </c>
      <c r="F69" s="10" t="n">
        <v>1642129000</v>
      </c>
      <c r="G69" s="7"/>
      <c r="H69" s="7" t="s">
        <v>30</v>
      </c>
      <c r="I69" s="7"/>
      <c r="J69" s="7" t="s">
        <v>30</v>
      </c>
      <c r="K69" s="11" t="n">
        <f aca="false">IFERROR(E69/F69,"")</f>
        <v>0.000913448334448755</v>
      </c>
      <c r="L69" s="15"/>
      <c r="M69" s="12"/>
      <c r="N69" s="13"/>
      <c r="O69" s="13"/>
      <c r="P69" s="13"/>
      <c r="Q69" s="11" t="str">
        <f aca="false">IF(M69="","",IFERROR(E69/M69,""))</f>
        <v/>
      </c>
      <c r="R69" s="14" t="str">
        <f aca="false">IF(M69="","",IFERROR(F69/M69,""))</f>
        <v/>
      </c>
      <c r="S69" s="13"/>
    </row>
    <row r="70" customFormat="false" ht="15" hidden="false" customHeight="false" outlineLevel="0" collapsed="false">
      <c r="A70" s="7" t="s">
        <v>187</v>
      </c>
      <c r="B70" s="7" t="s">
        <v>67</v>
      </c>
      <c r="C70" s="7" t="n">
        <v>2</v>
      </c>
      <c r="D70" s="10" t="n">
        <v>1350000</v>
      </c>
      <c r="E70" s="10" t="n">
        <v>900000</v>
      </c>
      <c r="F70" s="10" t="n">
        <v>1158906000</v>
      </c>
      <c r="G70" s="7"/>
      <c r="H70" s="7" t="s">
        <v>30</v>
      </c>
      <c r="I70" s="7"/>
      <c r="J70" s="7" t="s">
        <v>30</v>
      </c>
      <c r="K70" s="11" t="n">
        <f aca="false">IFERROR(E70/F70,"")</f>
        <v>0.000776594477895533</v>
      </c>
      <c r="L70" s="15"/>
      <c r="M70" s="12"/>
      <c r="N70" s="13"/>
      <c r="O70" s="13"/>
      <c r="P70" s="13"/>
      <c r="Q70" s="11" t="str">
        <f aca="false">IF(M70="","",IFERROR(E70/M70,""))</f>
        <v/>
      </c>
      <c r="R70" s="14" t="str">
        <f aca="false">IF(M70="","",IFERROR(F70/M70,""))</f>
        <v/>
      </c>
      <c r="S70" s="13"/>
    </row>
    <row r="71" customFormat="false" ht="15" hidden="false" customHeight="false" outlineLevel="0" collapsed="false">
      <c r="A71" s="7" t="s">
        <v>188</v>
      </c>
      <c r="B71" s="7" t="s">
        <v>49</v>
      </c>
      <c r="C71" s="7" t="n">
        <v>2</v>
      </c>
      <c r="D71" s="10" t="n">
        <v>10000</v>
      </c>
      <c r="E71" s="10" t="n">
        <v>5000</v>
      </c>
      <c r="F71" s="10" t="n">
        <v>908600000</v>
      </c>
      <c r="G71" s="7"/>
      <c r="H71" s="7" t="s">
        <v>30</v>
      </c>
      <c r="I71" s="7"/>
      <c r="J71" s="7" t="s">
        <v>30</v>
      </c>
      <c r="K71" s="11" t="n">
        <f aca="false">IFERROR(E71/F71,"")</f>
        <v>5.50297160466652E-006</v>
      </c>
      <c r="L71" s="15"/>
      <c r="M71" s="12"/>
      <c r="N71" s="13"/>
      <c r="O71" s="13"/>
      <c r="P71" s="13"/>
      <c r="Q71" s="11" t="str">
        <f aca="false">IF(M71="","",IFERROR(E71/M71,""))</f>
        <v/>
      </c>
      <c r="R71" s="14" t="str">
        <f aca="false">IF(M71="","",IFERROR(F71/M71,""))</f>
        <v/>
      </c>
      <c r="S71" s="13"/>
    </row>
    <row r="72" customFormat="false" ht="15" hidden="false" customHeight="false" outlineLevel="0" collapsed="false">
      <c r="A72" s="7" t="s">
        <v>189</v>
      </c>
      <c r="B72" s="7" t="s">
        <v>49</v>
      </c>
      <c r="C72" s="7" t="n">
        <v>2</v>
      </c>
      <c r="D72" s="10" t="n">
        <v>7000</v>
      </c>
      <c r="E72" s="10" t="n">
        <v>5000</v>
      </c>
      <c r="F72" s="10" t="n">
        <v>720780000</v>
      </c>
      <c r="G72" s="7"/>
      <c r="H72" s="7" t="s">
        <v>30</v>
      </c>
      <c r="I72" s="7"/>
      <c r="J72" s="7" t="s">
        <v>30</v>
      </c>
      <c r="K72" s="11" t="n">
        <f aca="false">IFERROR(E72/F72,"")</f>
        <v>6.93692943755376E-006</v>
      </c>
      <c r="L72" s="15"/>
      <c r="M72" s="12"/>
      <c r="N72" s="13"/>
      <c r="O72" s="13"/>
      <c r="P72" s="13"/>
      <c r="Q72" s="11" t="str">
        <f aca="false">IF(M72="","",IFERROR(E72/M72,""))</f>
        <v/>
      </c>
      <c r="R72" s="14" t="str">
        <f aca="false">IF(M72="","",IFERROR(F72/M72,""))</f>
        <v/>
      </c>
      <c r="S72" s="13"/>
    </row>
    <row r="73" customFormat="false" ht="15" hidden="false" customHeight="false" outlineLevel="0" collapsed="false">
      <c r="A73" s="7" t="s">
        <v>190</v>
      </c>
      <c r="B73" s="7" t="s">
        <v>57</v>
      </c>
      <c r="C73" s="7" t="n">
        <v>2</v>
      </c>
      <c r="D73" s="10" t="n">
        <v>5500000</v>
      </c>
      <c r="E73" s="10" t="n">
        <v>4500000</v>
      </c>
      <c r="F73" s="10" t="n">
        <v>581000000</v>
      </c>
      <c r="G73" s="7"/>
      <c r="H73" s="7" t="s">
        <v>30</v>
      </c>
      <c r="I73" s="7"/>
      <c r="J73" s="7" t="s">
        <v>30</v>
      </c>
      <c r="K73" s="11" t="n">
        <f aca="false">IFERROR(E73/F73,"")</f>
        <v>0.00774526678141136</v>
      </c>
      <c r="L73" s="15"/>
      <c r="M73" s="12"/>
      <c r="N73" s="13"/>
      <c r="O73" s="13"/>
      <c r="P73" s="13"/>
      <c r="Q73" s="11" t="str">
        <f aca="false">IF(M73="","",IFERROR(E73/M73,""))</f>
        <v/>
      </c>
      <c r="R73" s="14" t="str">
        <f aca="false">IF(M73="","",IFERROR(F73/M73,""))</f>
        <v/>
      </c>
      <c r="S73" s="13"/>
    </row>
    <row r="74" customFormat="false" ht="15" hidden="false" customHeight="false" outlineLevel="0" collapsed="false">
      <c r="A74" s="7" t="s">
        <v>191</v>
      </c>
      <c r="B74" s="7" t="s">
        <v>49</v>
      </c>
      <c r="C74" s="7" t="n">
        <v>2</v>
      </c>
      <c r="D74" s="10" t="n">
        <v>43000</v>
      </c>
      <c r="E74" s="10" t="n">
        <v>28000</v>
      </c>
      <c r="F74" s="10" t="n">
        <v>394000000</v>
      </c>
      <c r="G74" s="7"/>
      <c r="H74" s="7" t="s">
        <v>30</v>
      </c>
      <c r="I74" s="7"/>
      <c r="J74" s="7" t="s">
        <v>30</v>
      </c>
      <c r="K74" s="11" t="n">
        <f aca="false">IFERROR(E74/F74,"")</f>
        <v>7.10659898477157E-005</v>
      </c>
      <c r="L74" s="15"/>
      <c r="M74" s="12"/>
      <c r="N74" s="13"/>
      <c r="O74" s="13"/>
      <c r="P74" s="13"/>
      <c r="Q74" s="11" t="str">
        <f aca="false">IF(M74="","",IFERROR(E74/M74,""))</f>
        <v/>
      </c>
      <c r="R74" s="14" t="str">
        <f aca="false">IF(M74="","",IFERROR(F74/M74,""))</f>
        <v/>
      </c>
      <c r="S74" s="13"/>
    </row>
    <row r="75" customFormat="false" ht="15" hidden="false" customHeight="false" outlineLevel="0" collapsed="false">
      <c r="A75" s="7" t="s">
        <v>192</v>
      </c>
      <c r="B75" s="7" t="s">
        <v>29</v>
      </c>
      <c r="C75" s="7" t="n">
        <v>2</v>
      </c>
      <c r="D75" s="10" t="n">
        <v>77000</v>
      </c>
      <c r="E75" s="10" t="n">
        <v>50000</v>
      </c>
      <c r="F75" s="10" t="n">
        <v>243000000</v>
      </c>
      <c r="G75" s="7" t="s">
        <v>132</v>
      </c>
      <c r="H75" s="7" t="s">
        <v>135</v>
      </c>
      <c r="I75" s="7" t="s">
        <v>193</v>
      </c>
      <c r="J75" s="7" t="s">
        <v>36</v>
      </c>
      <c r="K75" s="11" t="n">
        <f aca="false">IFERROR(E75/F75,"")</f>
        <v>0.000205761316872428</v>
      </c>
      <c r="L75" s="15"/>
      <c r="M75" s="12"/>
      <c r="N75" s="13"/>
      <c r="O75" s="13"/>
      <c r="P75" s="13"/>
      <c r="Q75" s="11" t="str">
        <f aca="false">IF(M75="","",IFERROR(E75/M75,""))</f>
        <v/>
      </c>
      <c r="R75" s="14" t="str">
        <f aca="false">IF(M75="","",IFERROR(F75/M75,""))</f>
        <v/>
      </c>
      <c r="S75" s="13"/>
    </row>
    <row r="76" customFormat="false" ht="15" hidden="false" customHeight="false" outlineLevel="0" collapsed="false">
      <c r="A76" s="7" t="s">
        <v>194</v>
      </c>
      <c r="B76" s="7" t="s">
        <v>49</v>
      </c>
      <c r="C76" s="7" t="n">
        <v>2</v>
      </c>
      <c r="D76" s="10" t="n">
        <v>12500</v>
      </c>
      <c r="E76" s="10" t="n">
        <v>11000</v>
      </c>
      <c r="F76" s="10" t="n">
        <v>142266000</v>
      </c>
      <c r="G76" s="7" t="s">
        <v>132</v>
      </c>
      <c r="H76" s="7" t="s">
        <v>133</v>
      </c>
      <c r="I76" s="7" t="s">
        <v>195</v>
      </c>
      <c r="J76" s="7" t="s">
        <v>165</v>
      </c>
      <c r="K76" s="11" t="n">
        <f aca="false">IFERROR(E76/F76,"")</f>
        <v>7.73199499529051E-005</v>
      </c>
      <c r="L76" s="15"/>
      <c r="M76" s="12"/>
      <c r="N76" s="13"/>
      <c r="O76" s="13"/>
      <c r="P76" s="13"/>
      <c r="Q76" s="11" t="str">
        <f aca="false">IF(M76="","",IFERROR(E76/M76,""))</f>
        <v/>
      </c>
      <c r="R76" s="14" t="str">
        <f aca="false">IF(M76="","",IFERROR(F76/M76,""))</f>
        <v/>
      </c>
      <c r="S76" s="13"/>
    </row>
    <row r="77" customFormat="false" ht="15" hidden="false" customHeight="false" outlineLevel="0" collapsed="false">
      <c r="A77" s="7" t="s">
        <v>196</v>
      </c>
      <c r="B77" s="7" t="s">
        <v>29</v>
      </c>
      <c r="C77" s="7" t="n">
        <v>2</v>
      </c>
      <c r="D77" s="10" t="n">
        <v>4400</v>
      </c>
      <c r="E77" s="10" t="n">
        <v>4000</v>
      </c>
      <c r="F77" s="10" t="n">
        <v>29400000</v>
      </c>
      <c r="G77" s="7" t="s">
        <v>132</v>
      </c>
      <c r="H77" s="7" t="s">
        <v>141</v>
      </c>
      <c r="I77" s="7" t="s">
        <v>197</v>
      </c>
      <c r="J77" s="7" t="s">
        <v>36</v>
      </c>
      <c r="K77" s="11" t="n">
        <f aca="false">IFERROR(E77/F77,"")</f>
        <v>0.000136054421768707</v>
      </c>
      <c r="L77" s="15"/>
      <c r="M77" s="12"/>
      <c r="N77" s="13"/>
      <c r="O77" s="13"/>
      <c r="P77" s="13"/>
      <c r="Q77" s="11" t="str">
        <f aca="false">IF(M77="","",IFERROR(E77/M77,""))</f>
        <v/>
      </c>
      <c r="R77" s="14" t="str">
        <f aca="false">IF(M77="","",IFERROR(F77/M77,""))</f>
        <v/>
      </c>
      <c r="S77" s="13"/>
    </row>
    <row r="78" customFormat="false" ht="15" hidden="false" customHeight="false" outlineLevel="0" collapsed="false">
      <c r="A78" s="7" t="s">
        <v>147</v>
      </c>
      <c r="B78" s="7" t="s">
        <v>75</v>
      </c>
      <c r="C78" s="7" t="n">
        <v>1</v>
      </c>
      <c r="D78" s="10" t="n">
        <v>5000000</v>
      </c>
      <c r="E78" s="10" t="n">
        <v>5000000</v>
      </c>
      <c r="F78" s="10" t="n">
        <v>148710000000</v>
      </c>
      <c r="G78" s="7"/>
      <c r="H78" s="7" t="s">
        <v>30</v>
      </c>
      <c r="I78" s="7"/>
      <c r="J78" s="7" t="s">
        <v>30</v>
      </c>
      <c r="K78" s="11" t="n">
        <f aca="false">IFERROR(E78/F78,"")</f>
        <v>3.36224867191177E-005</v>
      </c>
      <c r="L78" s="15"/>
      <c r="M78" s="12"/>
      <c r="N78" s="13"/>
      <c r="O78" s="13"/>
      <c r="P78" s="13"/>
      <c r="Q78" s="11" t="str">
        <f aca="false">IF(M78="","",IFERROR(E78/M78,""))</f>
        <v/>
      </c>
      <c r="R78" s="14" t="str">
        <f aca="false">IF(M78="","",IFERROR(F78/M78,""))</f>
        <v/>
      </c>
      <c r="S78" s="13"/>
    </row>
    <row r="79" customFormat="false" ht="15" hidden="false" customHeight="false" outlineLevel="0" collapsed="false">
      <c r="A79" s="7" t="s">
        <v>198</v>
      </c>
      <c r="B79" s="7" t="s">
        <v>178</v>
      </c>
      <c r="C79" s="7" t="n">
        <v>1</v>
      </c>
      <c r="D79" s="10" t="n">
        <v>600000</v>
      </c>
      <c r="E79" s="10" t="n">
        <v>600000</v>
      </c>
      <c r="F79" s="10" t="n">
        <v>139715000000</v>
      </c>
      <c r="G79" s="7" t="s">
        <v>132</v>
      </c>
      <c r="H79" s="7" t="s">
        <v>133</v>
      </c>
      <c r="I79" s="7" t="s">
        <v>199</v>
      </c>
      <c r="J79" s="7" t="s">
        <v>165</v>
      </c>
      <c r="K79" s="11" t="n">
        <f aca="false">IFERROR(E79/F79,"")</f>
        <v>4.29445657230791E-006</v>
      </c>
      <c r="L79" s="15"/>
      <c r="M79" s="12"/>
      <c r="N79" s="13"/>
      <c r="O79" s="13"/>
      <c r="P79" s="13"/>
      <c r="Q79" s="11" t="str">
        <f aca="false">IF(M79="","",IFERROR(E79/M79,""))</f>
        <v/>
      </c>
      <c r="R79" s="14" t="str">
        <f aca="false">IF(M79="","",IFERROR(F79/M79,""))</f>
        <v/>
      </c>
      <c r="S79" s="13"/>
    </row>
    <row r="80" customFormat="false" ht="15" hidden="false" customHeight="false" outlineLevel="0" collapsed="false">
      <c r="A80" s="7" t="s">
        <v>147</v>
      </c>
      <c r="B80" s="7" t="s">
        <v>178</v>
      </c>
      <c r="C80" s="7" t="n">
        <v>1</v>
      </c>
      <c r="D80" s="10" t="n">
        <v>50000000</v>
      </c>
      <c r="E80" s="10" t="n">
        <v>50000000</v>
      </c>
      <c r="F80" s="10" t="n">
        <v>132390000000</v>
      </c>
      <c r="G80" s="7"/>
      <c r="H80" s="7" t="s">
        <v>30</v>
      </c>
      <c r="I80" s="7"/>
      <c r="J80" s="7" t="s">
        <v>30</v>
      </c>
      <c r="K80" s="11" t="n">
        <f aca="false">IFERROR(E80/F80,"")</f>
        <v>0.000377672029609487</v>
      </c>
      <c r="L80" s="15"/>
      <c r="M80" s="12"/>
      <c r="N80" s="13"/>
      <c r="O80" s="13"/>
      <c r="P80" s="13"/>
      <c r="Q80" s="11" t="str">
        <f aca="false">IF(M80="","",IFERROR(E80/M80,""))</f>
        <v/>
      </c>
      <c r="R80" s="14" t="str">
        <f aca="false">IF(M80="","",IFERROR(F80/M80,""))</f>
        <v/>
      </c>
      <c r="S80" s="13"/>
    </row>
    <row r="81" customFormat="false" ht="15" hidden="false" customHeight="false" outlineLevel="0" collapsed="false">
      <c r="A81" s="7" t="s">
        <v>200</v>
      </c>
      <c r="B81" s="7" t="s">
        <v>185</v>
      </c>
      <c r="C81" s="7" t="n">
        <v>1</v>
      </c>
      <c r="D81" s="10" t="n">
        <v>8000000</v>
      </c>
      <c r="E81" s="10" t="n">
        <v>8000000</v>
      </c>
      <c r="F81" s="10" t="n">
        <v>75000000000</v>
      </c>
      <c r="G81" s="7"/>
      <c r="H81" s="7" t="s">
        <v>30</v>
      </c>
      <c r="I81" s="7"/>
      <c r="J81" s="7" t="s">
        <v>30</v>
      </c>
      <c r="K81" s="11" t="n">
        <f aca="false">IFERROR(E81/F81,"")</f>
        <v>0.000106666666666667</v>
      </c>
      <c r="L81" s="15"/>
      <c r="M81" s="12"/>
      <c r="N81" s="13"/>
      <c r="O81" s="13"/>
      <c r="P81" s="13"/>
      <c r="Q81" s="11" t="str">
        <f aca="false">IF(M81="","",IFERROR(E81/M81,""))</f>
        <v/>
      </c>
      <c r="R81" s="14" t="str">
        <f aca="false">IF(M81="","",IFERROR(F81/M81,""))</f>
        <v/>
      </c>
      <c r="S81" s="13"/>
    </row>
    <row r="82" customFormat="false" ht="15" hidden="false" customHeight="false" outlineLevel="0" collapsed="false">
      <c r="A82" s="7" t="s">
        <v>201</v>
      </c>
      <c r="B82" s="7" t="s">
        <v>178</v>
      </c>
      <c r="C82" s="7" t="n">
        <v>1</v>
      </c>
      <c r="D82" s="10" t="n">
        <v>2250000</v>
      </c>
      <c r="E82" s="10" t="n">
        <v>2250000</v>
      </c>
      <c r="F82" s="10" t="n">
        <v>70700000000</v>
      </c>
      <c r="G82" s="7"/>
      <c r="H82" s="7" t="s">
        <v>30</v>
      </c>
      <c r="I82" s="7"/>
      <c r="J82" s="7" t="s">
        <v>30</v>
      </c>
      <c r="K82" s="11" t="n">
        <f aca="false">IFERROR(E82/F82,"")</f>
        <v>3.18246110325318E-005</v>
      </c>
      <c r="L82" s="15"/>
      <c r="M82" s="12"/>
      <c r="N82" s="13"/>
      <c r="O82" s="13"/>
      <c r="P82" s="13"/>
      <c r="Q82" s="11" t="str">
        <f aca="false">IF(M82="","",IFERROR(E82/M82,""))</f>
        <v/>
      </c>
      <c r="R82" s="14" t="str">
        <f aca="false">IF(M82="","",IFERROR(F82/M82,""))</f>
        <v/>
      </c>
      <c r="S82" s="13"/>
    </row>
    <row r="83" customFormat="false" ht="15" hidden="false" customHeight="false" outlineLevel="0" collapsed="false">
      <c r="A83" s="7" t="s">
        <v>202</v>
      </c>
      <c r="B83" s="7" t="s">
        <v>57</v>
      </c>
      <c r="C83" s="7" t="n">
        <v>1</v>
      </c>
      <c r="D83" s="10" t="n">
        <v>563052</v>
      </c>
      <c r="E83" s="10" t="n">
        <v>563052</v>
      </c>
      <c r="F83" s="10" t="n">
        <v>64900000000</v>
      </c>
      <c r="G83" s="7"/>
      <c r="H83" s="7" t="s">
        <v>30</v>
      </c>
      <c r="I83" s="7"/>
      <c r="J83" s="7" t="s">
        <v>30</v>
      </c>
      <c r="K83" s="11" t="n">
        <f aca="false">IFERROR(E83/F83,"")</f>
        <v>8.67568567026194E-006</v>
      </c>
      <c r="L83" s="15"/>
      <c r="M83" s="12"/>
      <c r="N83" s="13"/>
      <c r="O83" s="13"/>
      <c r="P83" s="13"/>
      <c r="Q83" s="11" t="str">
        <f aca="false">IF(M83="","",IFERROR(E83/M83,""))</f>
        <v/>
      </c>
      <c r="R83" s="14" t="str">
        <f aca="false">IF(M83="","",IFERROR(F83/M83,""))</f>
        <v/>
      </c>
      <c r="S83" s="13"/>
    </row>
    <row r="84" customFormat="false" ht="15" hidden="false" customHeight="false" outlineLevel="0" collapsed="false">
      <c r="A84" s="7" t="s">
        <v>203</v>
      </c>
      <c r="B84" s="7" t="s">
        <v>204</v>
      </c>
      <c r="C84" s="7" t="n">
        <v>1</v>
      </c>
      <c r="D84" s="10" t="n">
        <v>51000</v>
      </c>
      <c r="E84" s="10" t="n">
        <v>51000</v>
      </c>
      <c r="F84" s="10" t="n">
        <v>47280271000</v>
      </c>
      <c r="G84" s="7" t="s">
        <v>144</v>
      </c>
      <c r="H84" s="7" t="s">
        <v>145</v>
      </c>
      <c r="I84" s="7" t="s">
        <v>205</v>
      </c>
      <c r="J84" s="7" t="s">
        <v>36</v>
      </c>
      <c r="K84" s="11" t="n">
        <f aca="false">IFERROR(E84/F84,"")</f>
        <v>1.07867402029062E-006</v>
      </c>
      <c r="L84" s="15"/>
      <c r="M84" s="12"/>
      <c r="N84" s="13"/>
      <c r="O84" s="13"/>
      <c r="P84" s="13"/>
      <c r="Q84" s="11" t="str">
        <f aca="false">IF(M84="","",IFERROR(E84/M84,""))</f>
        <v/>
      </c>
      <c r="R84" s="14" t="str">
        <f aca="false">IF(M84="","",IFERROR(F84/M84,""))</f>
        <v/>
      </c>
      <c r="S84" s="13"/>
    </row>
    <row r="85" customFormat="false" ht="15" hidden="false" customHeight="false" outlineLevel="0" collapsed="false">
      <c r="A85" s="7" t="s">
        <v>206</v>
      </c>
      <c r="B85" s="7" t="s">
        <v>178</v>
      </c>
      <c r="C85" s="7" t="n">
        <v>1</v>
      </c>
      <c r="D85" s="10" t="n">
        <v>400000</v>
      </c>
      <c r="E85" s="10" t="n">
        <v>400000</v>
      </c>
      <c r="F85" s="10" t="n">
        <v>41400000000</v>
      </c>
      <c r="G85" s="7" t="s">
        <v>162</v>
      </c>
      <c r="H85" s="7" t="s">
        <v>145</v>
      </c>
      <c r="I85" s="7" t="s">
        <v>205</v>
      </c>
      <c r="J85" s="7" t="s">
        <v>165</v>
      </c>
      <c r="K85" s="11" t="n">
        <f aca="false">IFERROR(E85/F85,"")</f>
        <v>9.66183574879227E-006</v>
      </c>
      <c r="L85" s="15"/>
      <c r="M85" s="12"/>
      <c r="N85" s="13"/>
      <c r="O85" s="13"/>
      <c r="P85" s="13"/>
      <c r="Q85" s="11" t="str">
        <f aca="false">IF(M85="","",IFERROR(E85/M85,""))</f>
        <v/>
      </c>
      <c r="R85" s="14" t="str">
        <f aca="false">IF(M85="","",IFERROR(F85/M85,""))</f>
        <v/>
      </c>
      <c r="S85" s="13"/>
    </row>
    <row r="86" customFormat="false" ht="15" hidden="false" customHeight="false" outlineLevel="0" collapsed="false">
      <c r="A86" s="7" t="s">
        <v>207</v>
      </c>
      <c r="B86" s="7" t="s">
        <v>29</v>
      </c>
      <c r="C86" s="7" t="n">
        <v>1</v>
      </c>
      <c r="D86" s="10" t="n">
        <v>1300000</v>
      </c>
      <c r="E86" s="10" t="n">
        <v>1300000</v>
      </c>
      <c r="F86" s="10" t="n">
        <v>40652000000</v>
      </c>
      <c r="G86" s="7" t="s">
        <v>132</v>
      </c>
      <c r="H86" s="7" t="s">
        <v>135</v>
      </c>
      <c r="I86" s="7" t="s">
        <v>167</v>
      </c>
      <c r="J86" s="7" t="s">
        <v>36</v>
      </c>
      <c r="K86" s="11" t="n">
        <f aca="false">IFERROR(E86/F86,"")</f>
        <v>3.19787464331398E-005</v>
      </c>
      <c r="L86" s="15"/>
      <c r="M86" s="12"/>
      <c r="N86" s="13"/>
      <c r="O86" s="13"/>
      <c r="P86" s="13"/>
      <c r="Q86" s="11" t="str">
        <f aca="false">IF(M86="","",IFERROR(E86/M86,""))</f>
        <v/>
      </c>
      <c r="R86" s="14" t="str">
        <f aca="false">IF(M86="","",IFERROR(F86/M86,""))</f>
        <v/>
      </c>
      <c r="S86" s="13"/>
    </row>
    <row r="87" customFormat="false" ht="15" hidden="false" customHeight="false" outlineLevel="0" collapsed="false">
      <c r="A87" s="7" t="s">
        <v>208</v>
      </c>
      <c r="B87" s="7" t="s">
        <v>29</v>
      </c>
      <c r="C87" s="7" t="n">
        <v>1</v>
      </c>
      <c r="D87" s="10" t="n">
        <v>200000</v>
      </c>
      <c r="E87" s="10" t="n">
        <v>200000</v>
      </c>
      <c r="F87" s="10" t="n">
        <v>40652000000</v>
      </c>
      <c r="G87" s="7" t="s">
        <v>132</v>
      </c>
      <c r="H87" s="7" t="s">
        <v>133</v>
      </c>
      <c r="I87" s="7"/>
      <c r="J87" s="7" t="s">
        <v>165</v>
      </c>
      <c r="K87" s="11" t="n">
        <f aca="false">IFERROR(E87/F87,"")</f>
        <v>4.91980714355997E-006</v>
      </c>
      <c r="L87" s="15"/>
      <c r="M87" s="12"/>
      <c r="N87" s="13"/>
      <c r="O87" s="13"/>
      <c r="P87" s="13"/>
      <c r="Q87" s="11" t="str">
        <f aca="false">IF(M87="","",IFERROR(E87/M87,""))</f>
        <v/>
      </c>
      <c r="R87" s="14" t="str">
        <f aca="false">IF(M87="","",IFERROR(F87/M87,""))</f>
        <v/>
      </c>
      <c r="S87" s="13"/>
    </row>
    <row r="88" customFormat="false" ht="15" hidden="false" customHeight="false" outlineLevel="0" collapsed="false">
      <c r="A88" s="7" t="s">
        <v>209</v>
      </c>
      <c r="B88" s="7" t="s">
        <v>178</v>
      </c>
      <c r="C88" s="7" t="n">
        <v>1</v>
      </c>
      <c r="D88" s="10" t="n">
        <v>60000000</v>
      </c>
      <c r="E88" s="10" t="n">
        <v>60000000</v>
      </c>
      <c r="F88" s="10" t="n">
        <v>40000000000</v>
      </c>
      <c r="G88" s="7"/>
      <c r="H88" s="7" t="s">
        <v>30</v>
      </c>
      <c r="I88" s="7"/>
      <c r="J88" s="7" t="s">
        <v>30</v>
      </c>
      <c r="K88" s="11" t="n">
        <f aca="false">IFERROR(E88/F88,"")</f>
        <v>0.0015</v>
      </c>
      <c r="L88" s="15"/>
      <c r="M88" s="12"/>
      <c r="N88" s="13"/>
      <c r="O88" s="13"/>
      <c r="P88" s="13"/>
      <c r="Q88" s="11" t="str">
        <f aca="false">IF(M88="","",IFERROR(E88/M88,""))</f>
        <v/>
      </c>
      <c r="R88" s="14" t="str">
        <f aca="false">IF(M88="","",IFERROR(F88/M88,""))</f>
        <v/>
      </c>
      <c r="S88" s="13"/>
    </row>
    <row r="89" customFormat="false" ht="15" hidden="false" customHeight="false" outlineLevel="0" collapsed="false">
      <c r="A89" s="7" t="s">
        <v>210</v>
      </c>
      <c r="B89" s="7" t="s">
        <v>57</v>
      </c>
      <c r="C89" s="7" t="n">
        <v>1</v>
      </c>
      <c r="D89" s="10" t="n">
        <v>1000000</v>
      </c>
      <c r="E89" s="10" t="n">
        <v>1000000</v>
      </c>
      <c r="F89" s="10" t="n">
        <v>36492000000</v>
      </c>
      <c r="G89" s="7" t="s">
        <v>132</v>
      </c>
      <c r="H89" s="7" t="s">
        <v>145</v>
      </c>
      <c r="I89" s="7" t="s">
        <v>205</v>
      </c>
      <c r="J89" s="7" t="s">
        <v>36</v>
      </c>
      <c r="K89" s="11" t="n">
        <f aca="false">IFERROR(E89/F89,"")</f>
        <v>2.74032664693631E-005</v>
      </c>
      <c r="L89" s="15"/>
      <c r="M89" s="12"/>
      <c r="N89" s="13"/>
      <c r="O89" s="13"/>
      <c r="P89" s="13"/>
      <c r="Q89" s="11" t="str">
        <f aca="false">IF(M89="","",IFERROR(E89/M89,""))</f>
        <v/>
      </c>
      <c r="R89" s="14" t="str">
        <f aca="false">IF(M89="","",IFERROR(F89/M89,""))</f>
        <v/>
      </c>
      <c r="S89" s="13"/>
    </row>
    <row r="90" customFormat="false" ht="15" hidden="false" customHeight="false" outlineLevel="0" collapsed="false">
      <c r="A90" s="7" t="s">
        <v>211</v>
      </c>
      <c r="B90" s="7" t="s">
        <v>178</v>
      </c>
      <c r="C90" s="7" t="n">
        <v>1</v>
      </c>
      <c r="D90" s="10" t="n">
        <v>15000000</v>
      </c>
      <c r="E90" s="10" t="n">
        <v>15000000</v>
      </c>
      <c r="F90" s="10" t="n">
        <v>32000000000</v>
      </c>
      <c r="G90" s="7"/>
      <c r="H90" s="7" t="s">
        <v>30</v>
      </c>
      <c r="I90" s="7"/>
      <c r="J90" s="7" t="s">
        <v>30</v>
      </c>
      <c r="K90" s="11" t="n">
        <f aca="false">IFERROR(E90/F90,"")</f>
        <v>0.00046875</v>
      </c>
      <c r="L90" s="15"/>
      <c r="M90" s="12"/>
      <c r="N90" s="13"/>
      <c r="O90" s="13"/>
      <c r="P90" s="13"/>
      <c r="Q90" s="11" t="str">
        <f aca="false">IF(M90="","",IFERROR(E90/M90,""))</f>
        <v/>
      </c>
      <c r="R90" s="14" t="str">
        <f aca="false">IF(M90="","",IFERROR(F90/M90,""))</f>
        <v/>
      </c>
      <c r="S90" s="13"/>
    </row>
    <row r="91" customFormat="false" ht="15" hidden="false" customHeight="false" outlineLevel="0" collapsed="false">
      <c r="A91" s="7" t="s">
        <v>212</v>
      </c>
      <c r="B91" s="7" t="s">
        <v>29</v>
      </c>
      <c r="C91" s="7" t="n">
        <v>1</v>
      </c>
      <c r="D91" s="10" t="n">
        <v>40000</v>
      </c>
      <c r="E91" s="10" t="n">
        <v>40000</v>
      </c>
      <c r="F91" s="10" t="n">
        <v>29400000000</v>
      </c>
      <c r="G91" s="7" t="s">
        <v>132</v>
      </c>
      <c r="H91" s="7" t="s">
        <v>141</v>
      </c>
      <c r="I91" s="7" t="s">
        <v>213</v>
      </c>
      <c r="J91" s="7" t="s">
        <v>36</v>
      </c>
      <c r="K91" s="11" t="n">
        <f aca="false">IFERROR(E91/F91,"")</f>
        <v>1.36054421768708E-006</v>
      </c>
      <c r="L91" s="15"/>
      <c r="M91" s="12"/>
      <c r="N91" s="13"/>
      <c r="O91" s="13"/>
      <c r="P91" s="13"/>
      <c r="Q91" s="11" t="str">
        <f aca="false">IF(M91="","",IFERROR(E91/M91,""))</f>
        <v/>
      </c>
      <c r="R91" s="14" t="str">
        <f aca="false">IF(M91="","",IFERROR(F91/M91,""))</f>
        <v/>
      </c>
      <c r="S91" s="13"/>
    </row>
    <row r="92" customFormat="false" ht="15" hidden="false" customHeight="false" outlineLevel="0" collapsed="false">
      <c r="A92" s="7" t="s">
        <v>214</v>
      </c>
      <c r="B92" s="7" t="s">
        <v>29</v>
      </c>
      <c r="C92" s="7" t="n">
        <v>1</v>
      </c>
      <c r="D92" s="10" t="n">
        <v>170000</v>
      </c>
      <c r="E92" s="10" t="n">
        <v>170000</v>
      </c>
      <c r="F92" s="10" t="n">
        <v>27000000000</v>
      </c>
      <c r="G92" s="7"/>
      <c r="H92" s="7" t="s">
        <v>30</v>
      </c>
      <c r="I92" s="7"/>
      <c r="J92" s="7" t="s">
        <v>30</v>
      </c>
      <c r="K92" s="11" t="n">
        <f aca="false">IFERROR(E92/F92,"")</f>
        <v>6.2962962962963E-006</v>
      </c>
      <c r="L92" s="15"/>
      <c r="M92" s="12"/>
      <c r="N92" s="13"/>
      <c r="O92" s="13"/>
      <c r="P92" s="13"/>
      <c r="Q92" s="11" t="str">
        <f aca="false">IF(M92="","",IFERROR(E92/M92,""))</f>
        <v/>
      </c>
      <c r="R92" s="14" t="str">
        <f aca="false">IF(M92="","",IFERROR(F92/M92,""))</f>
        <v/>
      </c>
      <c r="S92" s="13"/>
    </row>
    <row r="93" customFormat="false" ht="15" hidden="false" customHeight="false" outlineLevel="0" collapsed="false">
      <c r="A93" s="7" t="s">
        <v>214</v>
      </c>
      <c r="B93" s="7" t="s">
        <v>29</v>
      </c>
      <c r="C93" s="7" t="n">
        <v>1</v>
      </c>
      <c r="D93" s="10" t="n">
        <v>2520000</v>
      </c>
      <c r="E93" s="10" t="n">
        <v>2520000</v>
      </c>
      <c r="F93" s="10" t="n">
        <v>26932000000</v>
      </c>
      <c r="G93" s="7"/>
      <c r="H93" s="7" t="s">
        <v>30</v>
      </c>
      <c r="I93" s="7"/>
      <c r="J93" s="7" t="s">
        <v>30</v>
      </c>
      <c r="K93" s="11" t="n">
        <f aca="false">IFERROR(E93/F93,"")</f>
        <v>9.35689885637903E-005</v>
      </c>
      <c r="L93" s="15"/>
      <c r="M93" s="12"/>
      <c r="N93" s="13"/>
      <c r="O93" s="13"/>
      <c r="P93" s="13"/>
      <c r="Q93" s="11" t="str">
        <f aca="false">IF(M93="","",IFERROR(E93/M93,""))</f>
        <v/>
      </c>
      <c r="R93" s="14" t="str">
        <f aca="false">IF(M93="","",IFERROR(F93/M93,""))</f>
        <v/>
      </c>
      <c r="S93" s="13"/>
    </row>
    <row r="94" customFormat="false" ht="15" hidden="false" customHeight="false" outlineLevel="0" collapsed="false">
      <c r="A94" s="7" t="s">
        <v>215</v>
      </c>
      <c r="B94" s="7" t="s">
        <v>67</v>
      </c>
      <c r="C94" s="7" t="n">
        <v>1</v>
      </c>
      <c r="D94" s="10" t="n">
        <v>4750000</v>
      </c>
      <c r="E94" s="10" t="n">
        <v>4750000</v>
      </c>
      <c r="F94" s="10" t="n">
        <v>25000000000</v>
      </c>
      <c r="G94" s="7"/>
      <c r="H94" s="7" t="s">
        <v>30</v>
      </c>
      <c r="I94" s="7"/>
      <c r="J94" s="7" t="s">
        <v>30</v>
      </c>
      <c r="K94" s="11" t="n">
        <f aca="false">IFERROR(E94/F94,"")</f>
        <v>0.00019</v>
      </c>
      <c r="L94" s="15"/>
      <c r="M94" s="12"/>
      <c r="N94" s="13"/>
      <c r="O94" s="13"/>
      <c r="P94" s="13"/>
      <c r="Q94" s="11" t="str">
        <f aca="false">IF(M94="","",IFERROR(E94/M94,""))</f>
        <v/>
      </c>
      <c r="R94" s="14" t="str">
        <f aca="false">IF(M94="","",IFERROR(F94/M94,""))</f>
        <v/>
      </c>
      <c r="S94" s="13"/>
    </row>
    <row r="95" customFormat="false" ht="15" hidden="false" customHeight="false" outlineLevel="0" collapsed="false">
      <c r="A95" s="7" t="s">
        <v>216</v>
      </c>
      <c r="B95" s="7" t="s">
        <v>70</v>
      </c>
      <c r="C95" s="7" t="n">
        <v>1</v>
      </c>
      <c r="D95" s="10" t="n">
        <v>345000000</v>
      </c>
      <c r="E95" s="10" t="n">
        <v>345000000</v>
      </c>
      <c r="F95" s="10" t="n">
        <v>21390000000</v>
      </c>
      <c r="G95" s="7"/>
      <c r="H95" s="7" t="s">
        <v>30</v>
      </c>
      <c r="I95" s="7"/>
      <c r="J95" s="7" t="s">
        <v>30</v>
      </c>
      <c r="K95" s="11" t="n">
        <f aca="false">IFERROR(E95/F95,"")</f>
        <v>0.0161290322580645</v>
      </c>
      <c r="L95" s="15"/>
      <c r="M95" s="12"/>
      <c r="N95" s="13"/>
      <c r="O95" s="13"/>
      <c r="P95" s="13"/>
      <c r="Q95" s="11" t="str">
        <f aca="false">IF(M95="","",IFERROR(E95/M95,""))</f>
        <v/>
      </c>
      <c r="R95" s="14" t="str">
        <f aca="false">IF(M95="","",IFERROR(F95/M95,""))</f>
        <v/>
      </c>
      <c r="S95" s="13"/>
    </row>
    <row r="96" customFormat="false" ht="15" hidden="false" customHeight="false" outlineLevel="0" collapsed="false">
      <c r="A96" s="7" t="s">
        <v>217</v>
      </c>
      <c r="B96" s="7" t="s">
        <v>97</v>
      </c>
      <c r="C96" s="7" t="n">
        <v>1</v>
      </c>
      <c r="D96" s="10" t="n">
        <v>35300</v>
      </c>
      <c r="E96" s="10" t="n">
        <v>35300</v>
      </c>
      <c r="F96" s="10" t="n">
        <v>20796000000</v>
      </c>
      <c r="G96" s="7" t="s">
        <v>137</v>
      </c>
      <c r="H96" s="7" t="s">
        <v>141</v>
      </c>
      <c r="I96" s="7" t="s">
        <v>218</v>
      </c>
      <c r="J96" s="7" t="s">
        <v>36</v>
      </c>
      <c r="K96" s="11" t="n">
        <f aca="false">IFERROR(E96/F96,"")</f>
        <v>1.6974418157338E-006</v>
      </c>
      <c r="L96" s="15"/>
      <c r="M96" s="12"/>
      <c r="N96" s="13"/>
      <c r="O96" s="13"/>
      <c r="P96" s="13"/>
      <c r="Q96" s="11" t="str">
        <f aca="false">IF(M96="","",IFERROR(E96/M96,""))</f>
        <v/>
      </c>
      <c r="R96" s="14" t="str">
        <f aca="false">IF(M96="","",IFERROR(F96/M96,""))</f>
        <v/>
      </c>
      <c r="S96" s="13"/>
    </row>
    <row r="97" customFormat="false" ht="15" hidden="false" customHeight="false" outlineLevel="0" collapsed="false">
      <c r="A97" s="7" t="s">
        <v>219</v>
      </c>
      <c r="B97" s="7" t="s">
        <v>57</v>
      </c>
      <c r="C97" s="7" t="n">
        <v>1</v>
      </c>
      <c r="D97" s="10" t="n">
        <v>27800000</v>
      </c>
      <c r="E97" s="10" t="n">
        <v>27800000</v>
      </c>
      <c r="F97" s="10" t="n">
        <v>17970000000</v>
      </c>
      <c r="G97" s="7"/>
      <c r="H97" s="7" t="s">
        <v>30</v>
      </c>
      <c r="I97" s="7"/>
      <c r="J97" s="7" t="s">
        <v>30</v>
      </c>
      <c r="K97" s="11" t="n">
        <f aca="false">IFERROR(E97/F97,"")</f>
        <v>0.00154702281580412</v>
      </c>
      <c r="L97" s="15"/>
      <c r="M97" s="12"/>
      <c r="N97" s="13"/>
      <c r="O97" s="13"/>
      <c r="P97" s="13"/>
      <c r="Q97" s="11" t="str">
        <f aca="false">IF(M97="","",IFERROR(E97/M97,""))</f>
        <v/>
      </c>
      <c r="R97" s="14" t="str">
        <f aca="false">IF(M97="","",IFERROR(F97/M97,""))</f>
        <v/>
      </c>
      <c r="S97" s="13"/>
    </row>
    <row r="98" customFormat="false" ht="15" hidden="false" customHeight="false" outlineLevel="0" collapsed="false">
      <c r="A98" s="7" t="s">
        <v>220</v>
      </c>
      <c r="B98" s="7" t="s">
        <v>204</v>
      </c>
      <c r="C98" s="7" t="n">
        <v>1</v>
      </c>
      <c r="D98" s="10" t="n">
        <v>900000</v>
      </c>
      <c r="E98" s="10" t="n">
        <v>900000</v>
      </c>
      <c r="F98" s="10" t="n">
        <v>15151000000</v>
      </c>
      <c r="G98" s="7" t="s">
        <v>162</v>
      </c>
      <c r="H98" s="7" t="s">
        <v>145</v>
      </c>
      <c r="I98" s="7" t="s">
        <v>205</v>
      </c>
      <c r="J98" s="7" t="s">
        <v>36</v>
      </c>
      <c r="K98" s="11" t="n">
        <f aca="false">IFERROR(E98/F98,"")</f>
        <v>5.94020196686687E-005</v>
      </c>
      <c r="L98" s="15"/>
      <c r="M98" s="12"/>
      <c r="N98" s="13"/>
      <c r="O98" s="13"/>
      <c r="P98" s="13"/>
      <c r="Q98" s="11" t="str">
        <f aca="false">IF(M98="","",IFERROR(E98/M98,""))</f>
        <v/>
      </c>
      <c r="R98" s="14" t="str">
        <f aca="false">IF(M98="","",IFERROR(F98/M98,""))</f>
        <v/>
      </c>
      <c r="S98" s="13"/>
    </row>
    <row r="99" customFormat="false" ht="15" hidden="false" customHeight="false" outlineLevel="0" collapsed="false">
      <c r="A99" s="7" t="s">
        <v>221</v>
      </c>
      <c r="B99" s="7" t="s">
        <v>29</v>
      </c>
      <c r="C99" s="7" t="n">
        <v>1</v>
      </c>
      <c r="D99" s="10" t="n">
        <v>1500000</v>
      </c>
      <c r="E99" s="10" t="n">
        <v>1500000</v>
      </c>
      <c r="F99" s="10" t="n">
        <v>13772545000</v>
      </c>
      <c r="G99" s="7"/>
      <c r="H99" s="7" t="s">
        <v>30</v>
      </c>
      <c r="I99" s="7"/>
      <c r="J99" s="7" t="s">
        <v>30</v>
      </c>
      <c r="K99" s="11" t="n">
        <f aca="false">IFERROR(E99/F99,"")</f>
        <v>0.000108912332470143</v>
      </c>
      <c r="L99" s="15"/>
      <c r="M99" s="12"/>
      <c r="N99" s="13"/>
      <c r="O99" s="13"/>
      <c r="P99" s="13"/>
      <c r="Q99" s="11" t="str">
        <f aca="false">IF(M99="","",IFERROR(E99/M99,""))</f>
        <v/>
      </c>
      <c r="R99" s="14" t="str">
        <f aca="false">IF(M99="","",IFERROR(F99/M99,""))</f>
        <v/>
      </c>
      <c r="S99" s="13"/>
    </row>
    <row r="100" customFormat="false" ht="15" hidden="false" customHeight="false" outlineLevel="0" collapsed="false">
      <c r="A100" s="7" t="s">
        <v>222</v>
      </c>
      <c r="B100" s="7" t="s">
        <v>67</v>
      </c>
      <c r="C100" s="7" t="n">
        <v>1</v>
      </c>
      <c r="D100" s="10" t="n">
        <v>475000</v>
      </c>
      <c r="E100" s="10" t="n">
        <v>475000</v>
      </c>
      <c r="F100" s="10" t="n">
        <v>13459000000</v>
      </c>
      <c r="G100" s="7" t="s">
        <v>223</v>
      </c>
      <c r="H100" s="7" t="s">
        <v>145</v>
      </c>
      <c r="I100" s="7" t="s">
        <v>205</v>
      </c>
      <c r="J100" s="7" t="s">
        <v>36</v>
      </c>
      <c r="K100" s="11" t="n">
        <f aca="false">IFERROR(E100/F100,"")</f>
        <v>3.52923694182332E-005</v>
      </c>
      <c r="L100" s="15"/>
      <c r="M100" s="12"/>
      <c r="N100" s="13"/>
      <c r="O100" s="13"/>
      <c r="P100" s="13"/>
      <c r="Q100" s="11" t="str">
        <f aca="false">IF(M100="","",IFERROR(E100/M100,""))</f>
        <v/>
      </c>
      <c r="R100" s="14" t="str">
        <f aca="false">IF(M100="","",IFERROR(F100/M100,""))</f>
        <v/>
      </c>
      <c r="S100" s="13"/>
    </row>
    <row r="101" customFormat="false" ht="15" hidden="false" customHeight="false" outlineLevel="0" collapsed="false">
      <c r="A101" s="7" t="s">
        <v>224</v>
      </c>
      <c r="B101" s="7" t="s">
        <v>204</v>
      </c>
      <c r="C101" s="7" t="n">
        <v>1</v>
      </c>
      <c r="D101" s="10" t="n">
        <v>35258708</v>
      </c>
      <c r="E101" s="10" t="n">
        <v>35258708</v>
      </c>
      <c r="F101" s="10" t="n">
        <v>12086590000</v>
      </c>
      <c r="G101" s="7"/>
      <c r="H101" s="7" t="s">
        <v>30</v>
      </c>
      <c r="I101" s="7"/>
      <c r="J101" s="7" t="s">
        <v>30</v>
      </c>
      <c r="K101" s="11" t="n">
        <f aca="false">IFERROR(E101/F101,"")</f>
        <v>0.00291717581220179</v>
      </c>
      <c r="L101" s="15"/>
      <c r="M101" s="12"/>
      <c r="N101" s="13"/>
      <c r="O101" s="13"/>
      <c r="P101" s="13"/>
      <c r="Q101" s="11" t="str">
        <f aca="false">IF(M101="","",IFERROR(E101/M101,""))</f>
        <v/>
      </c>
      <c r="R101" s="14" t="str">
        <f aca="false">IF(M101="","",IFERROR(F101/M101,""))</f>
        <v/>
      </c>
      <c r="S101" s="13"/>
    </row>
    <row r="102" customFormat="false" ht="15" hidden="false" customHeight="false" outlineLevel="0" collapsed="false">
      <c r="A102" s="7" t="s">
        <v>225</v>
      </c>
      <c r="B102" s="7" t="s">
        <v>97</v>
      </c>
      <c r="C102" s="7" t="n">
        <v>1</v>
      </c>
      <c r="D102" s="10" t="n">
        <v>30000</v>
      </c>
      <c r="E102" s="10" t="n">
        <v>30000</v>
      </c>
      <c r="F102" s="10" t="n">
        <v>10605294000</v>
      </c>
      <c r="G102" s="7" t="s">
        <v>132</v>
      </c>
      <c r="H102" s="7" t="s">
        <v>133</v>
      </c>
      <c r="I102" s="7" t="s">
        <v>226</v>
      </c>
      <c r="J102" s="7" t="s">
        <v>36</v>
      </c>
      <c r="K102" s="11" t="n">
        <f aca="false">IFERROR(E102/F102,"")</f>
        <v>2.82877589249294E-006</v>
      </c>
      <c r="L102" s="15"/>
      <c r="M102" s="12"/>
      <c r="N102" s="13"/>
      <c r="O102" s="13"/>
      <c r="P102" s="13"/>
      <c r="Q102" s="11" t="str">
        <f aca="false">IF(M102="","",IFERROR(E102/M102,""))</f>
        <v/>
      </c>
      <c r="R102" s="14" t="str">
        <f aca="false">IF(M102="","",IFERROR(F102/M102,""))</f>
        <v/>
      </c>
      <c r="S102" s="13"/>
    </row>
    <row r="103" customFormat="false" ht="15" hidden="false" customHeight="false" outlineLevel="0" collapsed="false">
      <c r="A103" s="7" t="s">
        <v>227</v>
      </c>
      <c r="B103" s="7" t="s">
        <v>178</v>
      </c>
      <c r="C103" s="7" t="n">
        <v>1</v>
      </c>
      <c r="D103" s="10" t="n">
        <v>600000</v>
      </c>
      <c r="E103" s="10" t="n">
        <v>600000</v>
      </c>
      <c r="F103" s="10" t="n">
        <v>10510000000</v>
      </c>
      <c r="G103" s="7" t="s">
        <v>132</v>
      </c>
      <c r="H103" s="7" t="s">
        <v>135</v>
      </c>
      <c r="I103" s="7" t="s">
        <v>228</v>
      </c>
      <c r="J103" s="7" t="s">
        <v>165</v>
      </c>
      <c r="K103" s="11" t="n">
        <f aca="false">IFERROR(E103/F103,"")</f>
        <v>5.70884871550904E-005</v>
      </c>
      <c r="L103" s="15"/>
      <c r="M103" s="12"/>
      <c r="N103" s="13"/>
      <c r="O103" s="13"/>
      <c r="P103" s="13"/>
      <c r="Q103" s="11" t="str">
        <f aca="false">IF(M103="","",IFERROR(E103/M103,""))</f>
        <v/>
      </c>
      <c r="R103" s="14" t="str">
        <f aca="false">IF(M103="","",IFERROR(F103/M103,""))</f>
        <v/>
      </c>
      <c r="S103" s="13"/>
    </row>
    <row r="104" customFormat="false" ht="15" hidden="false" customHeight="false" outlineLevel="0" collapsed="false">
      <c r="A104" s="7" t="s">
        <v>229</v>
      </c>
      <c r="B104" s="7" t="s">
        <v>57</v>
      </c>
      <c r="C104" s="7" t="n">
        <v>1</v>
      </c>
      <c r="D104" s="10" t="n">
        <v>10000000</v>
      </c>
      <c r="E104" s="10" t="n">
        <v>10000000</v>
      </c>
      <c r="F104" s="10" t="n">
        <v>10451000000</v>
      </c>
      <c r="G104" s="7"/>
      <c r="H104" s="7" t="s">
        <v>30</v>
      </c>
      <c r="I104" s="7"/>
      <c r="J104" s="7" t="s">
        <v>30</v>
      </c>
      <c r="K104" s="11" t="n">
        <f aca="false">IFERROR(E104/F104,"")</f>
        <v>0.000956846234810066</v>
      </c>
      <c r="L104" s="15"/>
      <c r="M104" s="12"/>
      <c r="N104" s="13"/>
      <c r="O104" s="13"/>
      <c r="P104" s="13"/>
      <c r="Q104" s="11" t="str">
        <f aca="false">IF(M104="","",IFERROR(E104/M104,""))</f>
        <v/>
      </c>
      <c r="R104" s="14" t="str">
        <f aca="false">IF(M104="","",IFERROR(F104/M104,""))</f>
        <v/>
      </c>
      <c r="S104" s="13"/>
    </row>
    <row r="105" customFormat="false" ht="15" hidden="false" customHeight="false" outlineLevel="0" collapsed="false">
      <c r="A105" s="7" t="s">
        <v>230</v>
      </c>
      <c r="B105" s="7" t="s">
        <v>204</v>
      </c>
      <c r="C105" s="7" t="n">
        <v>1</v>
      </c>
      <c r="D105" s="10" t="n">
        <v>195407</v>
      </c>
      <c r="E105" s="10" t="n">
        <v>195407</v>
      </c>
      <c r="F105" s="10" t="n">
        <v>9942000000</v>
      </c>
      <c r="G105" s="7" t="s">
        <v>132</v>
      </c>
      <c r="H105" s="7" t="s">
        <v>133</v>
      </c>
      <c r="I105" s="7" t="s">
        <v>231</v>
      </c>
      <c r="J105" s="7" t="s">
        <v>165</v>
      </c>
      <c r="K105" s="11" t="n">
        <f aca="false">IFERROR(E105/F105,"")</f>
        <v>1.96546972440153E-005</v>
      </c>
      <c r="L105" s="15"/>
      <c r="M105" s="12"/>
      <c r="N105" s="13"/>
      <c r="O105" s="13"/>
      <c r="P105" s="13"/>
      <c r="Q105" s="11" t="str">
        <f aca="false">IF(M105="","",IFERROR(E105/M105,""))</f>
        <v/>
      </c>
      <c r="R105" s="14" t="str">
        <f aca="false">IF(M105="","",IFERROR(F105/M105,""))</f>
        <v/>
      </c>
      <c r="S105" s="13"/>
    </row>
    <row r="106" customFormat="false" ht="15" hidden="false" customHeight="false" outlineLevel="0" collapsed="false">
      <c r="A106" s="7" t="s">
        <v>232</v>
      </c>
      <c r="B106" s="7" t="s">
        <v>29</v>
      </c>
      <c r="C106" s="7" t="n">
        <v>1</v>
      </c>
      <c r="D106" s="10" t="n">
        <v>25000</v>
      </c>
      <c r="E106" s="10" t="n">
        <v>25000</v>
      </c>
      <c r="F106" s="10" t="n">
        <v>9942000000</v>
      </c>
      <c r="G106" s="7" t="s">
        <v>132</v>
      </c>
      <c r="H106" s="7" t="s">
        <v>141</v>
      </c>
      <c r="I106" s="7" t="s">
        <v>231</v>
      </c>
      <c r="J106" s="7" t="s">
        <v>36</v>
      </c>
      <c r="K106" s="11" t="n">
        <f aca="false">IFERROR(E106/F106,"")</f>
        <v>2.51458459062563E-006</v>
      </c>
      <c r="L106" s="15"/>
      <c r="M106" s="12"/>
      <c r="N106" s="13"/>
      <c r="O106" s="13"/>
      <c r="P106" s="13"/>
      <c r="Q106" s="11" t="str">
        <f aca="false">IF(M106="","",IFERROR(E106/M106,""))</f>
        <v/>
      </c>
      <c r="R106" s="14" t="str">
        <f aca="false">IF(M106="","",IFERROR(F106/M106,""))</f>
        <v/>
      </c>
      <c r="S106" s="13"/>
    </row>
    <row r="107" customFormat="false" ht="15" hidden="false" customHeight="false" outlineLevel="0" collapsed="false">
      <c r="A107" s="7" t="s">
        <v>233</v>
      </c>
      <c r="B107" s="7" t="s">
        <v>178</v>
      </c>
      <c r="C107" s="7" t="n">
        <v>1</v>
      </c>
      <c r="D107" s="10" t="n">
        <v>300000</v>
      </c>
      <c r="E107" s="10" t="n">
        <v>300000</v>
      </c>
      <c r="F107" s="10" t="n">
        <v>9241000000</v>
      </c>
      <c r="G107" s="7" t="s">
        <v>132</v>
      </c>
      <c r="H107" s="7" t="s">
        <v>141</v>
      </c>
      <c r="I107" s="7" t="s">
        <v>179</v>
      </c>
      <c r="J107" s="7" t="s">
        <v>36</v>
      </c>
      <c r="K107" s="11" t="n">
        <f aca="false">IFERROR(E107/F107,"")</f>
        <v>3.24640190455578E-005</v>
      </c>
      <c r="L107" s="15"/>
      <c r="M107" s="12"/>
      <c r="N107" s="13"/>
      <c r="O107" s="13"/>
      <c r="P107" s="13"/>
      <c r="Q107" s="11" t="str">
        <f aca="false">IF(M107="","",IFERROR(E107/M107,""))</f>
        <v/>
      </c>
      <c r="R107" s="14" t="str">
        <f aca="false">IF(M107="","",IFERROR(F107/M107,""))</f>
        <v/>
      </c>
      <c r="S107" s="13"/>
    </row>
    <row r="108" customFormat="false" ht="15" hidden="false" customHeight="false" outlineLevel="0" collapsed="false">
      <c r="A108" s="7" t="s">
        <v>234</v>
      </c>
      <c r="B108" s="7" t="s">
        <v>178</v>
      </c>
      <c r="C108" s="7" t="n">
        <v>1</v>
      </c>
      <c r="D108" s="10" t="n">
        <v>15000000</v>
      </c>
      <c r="E108" s="10" t="n">
        <v>15000000</v>
      </c>
      <c r="F108" s="10" t="n">
        <v>9240000000</v>
      </c>
      <c r="G108" s="7" t="s">
        <v>132</v>
      </c>
      <c r="H108" s="7" t="s">
        <v>141</v>
      </c>
      <c r="I108" s="7" t="s">
        <v>179</v>
      </c>
      <c r="J108" s="7" t="s">
        <v>36</v>
      </c>
      <c r="K108" s="11" t="n">
        <f aca="false">IFERROR(E108/F108,"")</f>
        <v>0.00162337662337662</v>
      </c>
      <c r="L108" s="15"/>
      <c r="M108" s="12"/>
      <c r="N108" s="13"/>
      <c r="O108" s="13"/>
      <c r="P108" s="13"/>
      <c r="Q108" s="11" t="str">
        <f aca="false">IF(M108="","",IFERROR(E108/M108,""))</f>
        <v/>
      </c>
      <c r="R108" s="14" t="str">
        <f aca="false">IF(M108="","",IFERROR(F108/M108,""))</f>
        <v/>
      </c>
      <c r="S108" s="13"/>
    </row>
    <row r="109" customFormat="false" ht="15" hidden="false" customHeight="false" outlineLevel="0" collapsed="false">
      <c r="A109" s="7" t="s">
        <v>235</v>
      </c>
      <c r="B109" s="7" t="s">
        <v>236</v>
      </c>
      <c r="C109" s="7" t="n">
        <v>1</v>
      </c>
      <c r="D109" s="10" t="n">
        <v>20450000</v>
      </c>
      <c r="E109" s="10" t="n">
        <v>20450000</v>
      </c>
      <c r="F109" s="10" t="n">
        <v>8640000000</v>
      </c>
      <c r="G109" s="7"/>
      <c r="H109" s="7" t="s">
        <v>30</v>
      </c>
      <c r="I109" s="7"/>
      <c r="J109" s="7" t="s">
        <v>30</v>
      </c>
      <c r="K109" s="11" t="n">
        <f aca="false">IFERROR(E109/F109,"")</f>
        <v>0.00236689814814815</v>
      </c>
      <c r="L109" s="15"/>
      <c r="M109" s="12"/>
      <c r="N109" s="13"/>
      <c r="O109" s="13"/>
      <c r="P109" s="13"/>
      <c r="Q109" s="11" t="str">
        <f aca="false">IF(M109="","",IFERROR(E109/M109,""))</f>
        <v/>
      </c>
      <c r="R109" s="14" t="str">
        <f aca="false">IF(M109="","",IFERROR(F109/M109,""))</f>
        <v/>
      </c>
      <c r="S109" s="13"/>
    </row>
    <row r="110" customFormat="false" ht="15" hidden="false" customHeight="false" outlineLevel="0" collapsed="false">
      <c r="A110" s="7" t="s">
        <v>237</v>
      </c>
      <c r="B110" s="7" t="s">
        <v>238</v>
      </c>
      <c r="C110" s="7" t="n">
        <v>1</v>
      </c>
      <c r="D110" s="10" t="n">
        <v>50000</v>
      </c>
      <c r="E110" s="10" t="n">
        <v>50000</v>
      </c>
      <c r="F110" s="10" t="n">
        <v>6042000000</v>
      </c>
      <c r="G110" s="7" t="s">
        <v>132</v>
      </c>
      <c r="H110" s="7" t="s">
        <v>133</v>
      </c>
      <c r="I110" s="7" t="s">
        <v>239</v>
      </c>
      <c r="J110" s="7" t="s">
        <v>165</v>
      </c>
      <c r="K110" s="11" t="n">
        <f aca="false">IFERROR(E110/F110,"")</f>
        <v>8.27540549486925E-006</v>
      </c>
      <c r="L110" s="15"/>
      <c r="M110" s="12"/>
      <c r="N110" s="13"/>
      <c r="O110" s="13"/>
      <c r="P110" s="13"/>
      <c r="Q110" s="11" t="str">
        <f aca="false">IF(M110="","",IFERROR(E110/M110,""))</f>
        <v/>
      </c>
      <c r="R110" s="14" t="str">
        <f aca="false">IF(M110="","",IFERROR(F110/M110,""))</f>
        <v/>
      </c>
      <c r="S110" s="13"/>
    </row>
    <row r="111" customFormat="false" ht="15" hidden="false" customHeight="false" outlineLevel="0" collapsed="false">
      <c r="A111" s="7" t="s">
        <v>240</v>
      </c>
      <c r="B111" s="7" t="s">
        <v>97</v>
      </c>
      <c r="C111" s="7" t="n">
        <v>1</v>
      </c>
      <c r="D111" s="10" t="n">
        <v>24000</v>
      </c>
      <c r="E111" s="10" t="n">
        <v>24000</v>
      </c>
      <c r="F111" s="10" t="n">
        <v>5916000000</v>
      </c>
      <c r="G111" s="7" t="s">
        <v>132</v>
      </c>
      <c r="H111" s="7" t="s">
        <v>135</v>
      </c>
      <c r="I111" s="7" t="s">
        <v>241</v>
      </c>
      <c r="J111" s="7" t="s">
        <v>54</v>
      </c>
      <c r="K111" s="11" t="n">
        <f aca="false">IFERROR(E111/F111,"")</f>
        <v>4.05679513184584E-006</v>
      </c>
      <c r="L111" s="15"/>
      <c r="M111" s="12"/>
      <c r="N111" s="13"/>
      <c r="O111" s="13"/>
      <c r="P111" s="13"/>
      <c r="Q111" s="11" t="str">
        <f aca="false">IF(M111="","",IFERROR(E111/M111,""))</f>
        <v/>
      </c>
      <c r="R111" s="14" t="str">
        <f aca="false">IF(M111="","",IFERROR(F111/M111,""))</f>
        <v/>
      </c>
      <c r="S111" s="13"/>
    </row>
    <row r="112" customFormat="false" ht="15" hidden="false" customHeight="false" outlineLevel="0" collapsed="false">
      <c r="A112" s="7" t="s">
        <v>83</v>
      </c>
      <c r="B112" s="7" t="s">
        <v>57</v>
      </c>
      <c r="C112" s="7" t="n">
        <v>1</v>
      </c>
      <c r="D112" s="10" t="n">
        <v>12251601</v>
      </c>
      <c r="E112" s="10" t="n">
        <v>12251601</v>
      </c>
      <c r="F112" s="10" t="n">
        <v>5790000000</v>
      </c>
      <c r="G112" s="7"/>
      <c r="H112" s="7" t="s">
        <v>30</v>
      </c>
      <c r="I112" s="7"/>
      <c r="J112" s="7" t="s">
        <v>30</v>
      </c>
      <c r="K112" s="11" t="n">
        <f aca="false">IFERROR(E112/F112,"")</f>
        <v>0.0021159932642487</v>
      </c>
      <c r="L112" s="15"/>
      <c r="M112" s="12"/>
      <c r="N112" s="13"/>
      <c r="O112" s="13"/>
      <c r="P112" s="13"/>
      <c r="Q112" s="11" t="str">
        <f aca="false">IF(M112="","",IFERROR(E112/M112,""))</f>
        <v/>
      </c>
      <c r="R112" s="14" t="str">
        <f aca="false">IF(M112="","",IFERROR(F112/M112,""))</f>
        <v/>
      </c>
      <c r="S112" s="13"/>
    </row>
    <row r="113" customFormat="false" ht="15" hidden="false" customHeight="false" outlineLevel="0" collapsed="false">
      <c r="A113" s="7" t="s">
        <v>242</v>
      </c>
      <c r="B113" s="7" t="s">
        <v>178</v>
      </c>
      <c r="C113" s="7" t="n">
        <v>1</v>
      </c>
      <c r="D113" s="10" t="n">
        <v>600000</v>
      </c>
      <c r="E113" s="10" t="n">
        <v>600000</v>
      </c>
      <c r="F113" s="10" t="n">
        <v>5056000000</v>
      </c>
      <c r="G113" s="7" t="s">
        <v>132</v>
      </c>
      <c r="H113" s="7" t="s">
        <v>133</v>
      </c>
      <c r="I113" s="7" t="s">
        <v>243</v>
      </c>
      <c r="J113" s="7" t="s">
        <v>165</v>
      </c>
      <c r="K113" s="11" t="n">
        <f aca="false">IFERROR(E113/F113,"")</f>
        <v>0.000118670886075949</v>
      </c>
      <c r="L113" s="15"/>
      <c r="M113" s="12"/>
      <c r="N113" s="13"/>
      <c r="O113" s="13"/>
      <c r="P113" s="13"/>
      <c r="Q113" s="11" t="str">
        <f aca="false">IF(M113="","",IFERROR(E113/M113,""))</f>
        <v/>
      </c>
      <c r="R113" s="14" t="str">
        <f aca="false">IF(M113="","",IFERROR(F113/M113,""))</f>
        <v/>
      </c>
      <c r="S113" s="13"/>
    </row>
    <row r="114" customFormat="false" ht="15" hidden="false" customHeight="false" outlineLevel="0" collapsed="false">
      <c r="A114" s="7" t="s">
        <v>28</v>
      </c>
      <c r="B114" s="7" t="s">
        <v>29</v>
      </c>
      <c r="C114" s="7" t="n">
        <v>1</v>
      </c>
      <c r="D114" s="10" t="n">
        <v>30000</v>
      </c>
      <c r="E114" s="10" t="n">
        <v>30000</v>
      </c>
      <c r="F114" s="10" t="n">
        <v>4973000000</v>
      </c>
      <c r="G114" s="7"/>
      <c r="H114" s="7" t="s">
        <v>30</v>
      </c>
      <c r="I114" s="7"/>
      <c r="J114" s="7" t="s">
        <v>30</v>
      </c>
      <c r="K114" s="11" t="n">
        <f aca="false">IFERROR(E114/F114,"")</f>
        <v>6.03257590991353E-006</v>
      </c>
      <c r="L114" s="15"/>
      <c r="M114" s="12"/>
      <c r="N114" s="13"/>
      <c r="O114" s="13"/>
      <c r="P114" s="13"/>
      <c r="Q114" s="11" t="str">
        <f aca="false">IF(M114="","",IFERROR(E114/M114,""))</f>
        <v/>
      </c>
      <c r="R114" s="14" t="str">
        <f aca="false">IF(M114="","",IFERROR(F114/M114,""))</f>
        <v/>
      </c>
      <c r="S114" s="13"/>
    </row>
    <row r="115" customFormat="false" ht="15" hidden="false" customHeight="false" outlineLevel="0" collapsed="false">
      <c r="A115" s="7" t="s">
        <v>244</v>
      </c>
      <c r="B115" s="7" t="s">
        <v>57</v>
      </c>
      <c r="C115" s="7" t="n">
        <v>1</v>
      </c>
      <c r="D115" s="10" t="n">
        <v>16700000</v>
      </c>
      <c r="E115" s="10" t="n">
        <v>16700000</v>
      </c>
      <c r="F115" s="10" t="n">
        <v>4720000000</v>
      </c>
      <c r="G115" s="7"/>
      <c r="H115" s="7" t="s">
        <v>30</v>
      </c>
      <c r="I115" s="7"/>
      <c r="J115" s="7" t="s">
        <v>30</v>
      </c>
      <c r="K115" s="11" t="n">
        <f aca="false">IFERROR(E115/F115,"")</f>
        <v>0.00353813559322034</v>
      </c>
      <c r="L115" s="15"/>
      <c r="M115" s="12"/>
      <c r="N115" s="13"/>
      <c r="O115" s="13"/>
      <c r="P115" s="13"/>
      <c r="Q115" s="11" t="str">
        <f aca="false">IF(M115="","",IFERROR(E115/M115,""))</f>
        <v/>
      </c>
      <c r="R115" s="14" t="str">
        <f aca="false">IF(M115="","",IFERROR(F115/M115,""))</f>
        <v/>
      </c>
      <c r="S115" s="13"/>
    </row>
    <row r="116" customFormat="false" ht="15" hidden="false" customHeight="false" outlineLevel="0" collapsed="false">
      <c r="A116" s="7" t="s">
        <v>245</v>
      </c>
      <c r="B116" s="7" t="s">
        <v>60</v>
      </c>
      <c r="C116" s="7" t="n">
        <v>1</v>
      </c>
      <c r="D116" s="10" t="n">
        <v>150000</v>
      </c>
      <c r="E116" s="10" t="n">
        <v>150000</v>
      </c>
      <c r="F116" s="10" t="n">
        <v>4649400000</v>
      </c>
      <c r="G116" s="7"/>
      <c r="H116" s="7" t="s">
        <v>30</v>
      </c>
      <c r="I116" s="7"/>
      <c r="J116" s="7" t="s">
        <v>30</v>
      </c>
      <c r="K116" s="11" t="n">
        <f aca="false">IFERROR(E116/F116,"")</f>
        <v>3.22622273841786E-005</v>
      </c>
      <c r="L116" s="15"/>
      <c r="M116" s="12"/>
      <c r="N116" s="13"/>
      <c r="O116" s="13"/>
      <c r="P116" s="13"/>
      <c r="Q116" s="11" t="str">
        <f aca="false">IF(M116="","",IFERROR(E116/M116,""))</f>
        <v/>
      </c>
      <c r="R116" s="14" t="str">
        <f aca="false">IF(M116="","",IFERROR(F116/M116,""))</f>
        <v/>
      </c>
      <c r="S116" s="13"/>
    </row>
    <row r="117" customFormat="false" ht="15" hidden="false" customHeight="false" outlineLevel="0" collapsed="false">
      <c r="A117" s="7" t="s">
        <v>246</v>
      </c>
      <c r="B117" s="7" t="s">
        <v>236</v>
      </c>
      <c r="C117" s="7" t="n">
        <v>1</v>
      </c>
      <c r="D117" s="10" t="n">
        <v>22046000</v>
      </c>
      <c r="E117" s="10" t="n">
        <v>22046000</v>
      </c>
      <c r="F117" s="10" t="n">
        <v>4520000000</v>
      </c>
      <c r="G117" s="7"/>
      <c r="H117" s="7" t="s">
        <v>30</v>
      </c>
      <c r="I117" s="7"/>
      <c r="J117" s="7" t="s">
        <v>30</v>
      </c>
      <c r="K117" s="11" t="n">
        <f aca="false">IFERROR(E117/F117,"")</f>
        <v>0.00487743362831858</v>
      </c>
      <c r="L117" s="15"/>
      <c r="M117" s="12"/>
      <c r="N117" s="13"/>
      <c r="O117" s="13"/>
      <c r="P117" s="13"/>
      <c r="Q117" s="11" t="str">
        <f aca="false">IF(M117="","",IFERROR(E117/M117,""))</f>
        <v/>
      </c>
      <c r="R117" s="14" t="str">
        <f aca="false">IF(M117="","",IFERROR(F117/M117,""))</f>
        <v/>
      </c>
      <c r="S117" s="13"/>
    </row>
    <row r="118" customFormat="false" ht="15" hidden="false" customHeight="false" outlineLevel="0" collapsed="false">
      <c r="A118" s="7" t="s">
        <v>247</v>
      </c>
      <c r="B118" s="7" t="s">
        <v>57</v>
      </c>
      <c r="C118" s="7" t="n">
        <v>1</v>
      </c>
      <c r="D118" s="10" t="n">
        <v>1000000</v>
      </c>
      <c r="E118" s="10" t="n">
        <v>1000000</v>
      </c>
      <c r="F118" s="10" t="n">
        <v>4328000000</v>
      </c>
      <c r="G118" s="7" t="s">
        <v>132</v>
      </c>
      <c r="H118" s="7" t="s">
        <v>133</v>
      </c>
      <c r="I118" s="7" t="s">
        <v>181</v>
      </c>
      <c r="J118" s="7" t="s">
        <v>165</v>
      </c>
      <c r="K118" s="11" t="n">
        <f aca="false">IFERROR(E118/F118,"")</f>
        <v>0.000231053604436229</v>
      </c>
      <c r="L118" s="15"/>
      <c r="M118" s="12"/>
      <c r="N118" s="13"/>
      <c r="O118" s="13"/>
      <c r="P118" s="13"/>
      <c r="Q118" s="11" t="str">
        <f aca="false">IF(M118="","",IFERROR(E118/M118,""))</f>
        <v/>
      </c>
      <c r="R118" s="14" t="str">
        <f aca="false">IF(M118="","",IFERROR(F118/M118,""))</f>
        <v/>
      </c>
      <c r="S118" s="13"/>
    </row>
    <row r="119" customFormat="false" ht="15" hidden="false" customHeight="false" outlineLevel="0" collapsed="false">
      <c r="A119" s="7" t="s">
        <v>248</v>
      </c>
      <c r="B119" s="7" t="s">
        <v>57</v>
      </c>
      <c r="C119" s="7" t="n">
        <v>1</v>
      </c>
      <c r="D119" s="10" t="n">
        <v>2856169</v>
      </c>
      <c r="E119" s="10" t="n">
        <v>2856169</v>
      </c>
      <c r="F119" s="10" t="n">
        <v>4002000000</v>
      </c>
      <c r="G119" s="7"/>
      <c r="H119" s="7" t="s">
        <v>30</v>
      </c>
      <c r="I119" s="7"/>
      <c r="J119" s="7" t="s">
        <v>30</v>
      </c>
      <c r="K119" s="11" t="n">
        <f aca="false">IFERROR(E119/F119,"")</f>
        <v>0.000713685407296352</v>
      </c>
      <c r="L119" s="15"/>
      <c r="M119" s="12"/>
      <c r="N119" s="13"/>
      <c r="O119" s="13"/>
      <c r="P119" s="13"/>
      <c r="Q119" s="11" t="str">
        <f aca="false">IF(M119="","",IFERROR(E119/M119,""))</f>
        <v/>
      </c>
      <c r="R119" s="14" t="str">
        <f aca="false">IF(M119="","",IFERROR(F119/M119,""))</f>
        <v/>
      </c>
      <c r="S119" s="13"/>
    </row>
    <row r="120" customFormat="false" ht="15" hidden="false" customHeight="false" outlineLevel="0" collapsed="false">
      <c r="A120" s="7" t="s">
        <v>249</v>
      </c>
      <c r="B120" s="7" t="s">
        <v>204</v>
      </c>
      <c r="C120" s="7" t="n">
        <v>1</v>
      </c>
      <c r="D120" s="10" t="n">
        <v>900000</v>
      </c>
      <c r="E120" s="10" t="n">
        <v>900000</v>
      </c>
      <c r="F120" s="10" t="n">
        <v>3786790000</v>
      </c>
      <c r="G120" s="7"/>
      <c r="H120" s="7" t="s">
        <v>30</v>
      </c>
      <c r="I120" s="7"/>
      <c r="J120" s="7" t="s">
        <v>30</v>
      </c>
      <c r="K120" s="11" t="n">
        <f aca="false">IFERROR(E120/F120,"")</f>
        <v>0.000237668315380573</v>
      </c>
      <c r="L120" s="15"/>
      <c r="M120" s="12"/>
      <c r="N120" s="13"/>
      <c r="O120" s="13"/>
      <c r="P120" s="13"/>
      <c r="Q120" s="11" t="str">
        <f aca="false">IF(M120="","",IFERROR(E120/M120,""))</f>
        <v/>
      </c>
      <c r="R120" s="14" t="str">
        <f aca="false">IF(M120="","",IFERROR(F120/M120,""))</f>
        <v/>
      </c>
      <c r="S120" s="13"/>
    </row>
    <row r="121" customFormat="false" ht="15" hidden="false" customHeight="false" outlineLevel="0" collapsed="false">
      <c r="A121" s="7" t="s">
        <v>250</v>
      </c>
      <c r="B121" s="7" t="s">
        <v>60</v>
      </c>
      <c r="C121" s="7" t="n">
        <v>1</v>
      </c>
      <c r="D121" s="10" t="n">
        <v>3200000</v>
      </c>
      <c r="E121" s="10" t="n">
        <v>3200000</v>
      </c>
      <c r="F121" s="10" t="n">
        <v>3700000000</v>
      </c>
      <c r="G121" s="7"/>
      <c r="H121" s="7" t="s">
        <v>30</v>
      </c>
      <c r="I121" s="7"/>
      <c r="J121" s="7" t="s">
        <v>30</v>
      </c>
      <c r="K121" s="11" t="n">
        <f aca="false">IFERROR(E121/F121,"")</f>
        <v>0.000864864864864865</v>
      </c>
      <c r="L121" s="15"/>
      <c r="M121" s="12"/>
      <c r="N121" s="13"/>
      <c r="O121" s="13"/>
      <c r="P121" s="13"/>
      <c r="Q121" s="11" t="str">
        <f aca="false">IF(M121="","",IFERROR(E121/M121,""))</f>
        <v/>
      </c>
      <c r="R121" s="14" t="str">
        <f aca="false">IF(M121="","",IFERROR(F121/M121,""))</f>
        <v/>
      </c>
      <c r="S121" s="13"/>
    </row>
    <row r="122" customFormat="false" ht="15" hidden="false" customHeight="false" outlineLevel="0" collapsed="false">
      <c r="A122" s="7" t="s">
        <v>251</v>
      </c>
      <c r="B122" s="7" t="s">
        <v>113</v>
      </c>
      <c r="C122" s="7" t="n">
        <v>1</v>
      </c>
      <c r="D122" s="10" t="n">
        <v>67900</v>
      </c>
      <c r="E122" s="10" t="n">
        <v>67900</v>
      </c>
      <c r="F122" s="10" t="n">
        <v>3660000000</v>
      </c>
      <c r="G122" s="7"/>
      <c r="H122" s="7" t="s">
        <v>30</v>
      </c>
      <c r="I122" s="7"/>
      <c r="J122" s="7" t="s">
        <v>30</v>
      </c>
      <c r="K122" s="11" t="n">
        <f aca="false">IFERROR(E122/F122,"")</f>
        <v>1.8551912568306E-005</v>
      </c>
      <c r="L122" s="15"/>
      <c r="M122" s="12"/>
      <c r="N122" s="13"/>
      <c r="O122" s="13"/>
      <c r="P122" s="13"/>
      <c r="Q122" s="11" t="str">
        <f aca="false">IF(M122="","",IFERROR(E122/M122,""))</f>
        <v/>
      </c>
      <c r="R122" s="14" t="str">
        <f aca="false">IF(M122="","",IFERROR(F122/M122,""))</f>
        <v/>
      </c>
      <c r="S122" s="13"/>
    </row>
    <row r="123" customFormat="false" ht="15" hidden="false" customHeight="false" outlineLevel="0" collapsed="false">
      <c r="A123" s="7" t="s">
        <v>28</v>
      </c>
      <c r="B123" s="7" t="s">
        <v>29</v>
      </c>
      <c r="C123" s="7" t="n">
        <v>1</v>
      </c>
      <c r="D123" s="10" t="n">
        <v>3940000</v>
      </c>
      <c r="E123" s="10" t="n">
        <v>3940000</v>
      </c>
      <c r="F123" s="10" t="n">
        <v>3302800000</v>
      </c>
      <c r="G123" s="7"/>
      <c r="H123" s="7" t="s">
        <v>30</v>
      </c>
      <c r="I123" s="7"/>
      <c r="J123" s="7" t="s">
        <v>30</v>
      </c>
      <c r="K123" s="11" t="n">
        <f aca="false">IFERROR(E123/F123,"")</f>
        <v>0.00119292721327359</v>
      </c>
      <c r="L123" s="15"/>
      <c r="M123" s="12"/>
      <c r="N123" s="13"/>
      <c r="O123" s="13"/>
      <c r="P123" s="13"/>
      <c r="Q123" s="11" t="str">
        <f aca="false">IF(M123="","",IFERROR(E123/M123,""))</f>
        <v/>
      </c>
      <c r="R123" s="14" t="str">
        <f aca="false">IF(M123="","",IFERROR(F123/M123,""))</f>
        <v/>
      </c>
      <c r="S123" s="13"/>
    </row>
    <row r="124" customFormat="false" ht="15" hidden="false" customHeight="false" outlineLevel="0" collapsed="false">
      <c r="A124" s="7" t="s">
        <v>252</v>
      </c>
      <c r="B124" s="7" t="s">
        <v>49</v>
      </c>
      <c r="C124" s="7" t="n">
        <v>1</v>
      </c>
      <c r="D124" s="10" t="n">
        <v>3000</v>
      </c>
      <c r="E124" s="10" t="n">
        <v>3000</v>
      </c>
      <c r="F124" s="10" t="n">
        <v>3114071978</v>
      </c>
      <c r="G124" s="7"/>
      <c r="H124" s="7" t="s">
        <v>30</v>
      </c>
      <c r="I124" s="7"/>
      <c r="J124" s="7" t="s">
        <v>30</v>
      </c>
      <c r="K124" s="11" t="n">
        <f aca="false">IFERROR(E124/F124,"")</f>
        <v>9.63368869182895E-007</v>
      </c>
      <c r="L124" s="15"/>
      <c r="M124" s="12"/>
      <c r="N124" s="13"/>
      <c r="O124" s="13"/>
      <c r="P124" s="13"/>
      <c r="Q124" s="11" t="str">
        <f aca="false">IF(M124="","",IFERROR(E124/M124,""))</f>
        <v/>
      </c>
      <c r="R124" s="14" t="str">
        <f aca="false">IF(M124="","",IFERROR(F124/M124,""))</f>
        <v/>
      </c>
      <c r="S124" s="13"/>
    </row>
    <row r="125" customFormat="false" ht="15" hidden="false" customHeight="false" outlineLevel="0" collapsed="false">
      <c r="A125" s="7" t="s">
        <v>253</v>
      </c>
      <c r="B125" s="7" t="s">
        <v>70</v>
      </c>
      <c r="C125" s="7" t="n">
        <v>1</v>
      </c>
      <c r="D125" s="10" t="n">
        <v>450000</v>
      </c>
      <c r="E125" s="10" t="n">
        <v>450000</v>
      </c>
      <c r="F125" s="10" t="n">
        <v>3090939100</v>
      </c>
      <c r="G125" s="7" t="s">
        <v>223</v>
      </c>
      <c r="H125" s="7" t="s">
        <v>145</v>
      </c>
      <c r="I125" s="7" t="s">
        <v>205</v>
      </c>
      <c r="J125" s="7" t="s">
        <v>165</v>
      </c>
      <c r="K125" s="11" t="n">
        <f aca="false">IFERROR(E125/F125,"")</f>
        <v>0.000145586821817356</v>
      </c>
      <c r="L125" s="15"/>
      <c r="M125" s="12"/>
      <c r="N125" s="13"/>
      <c r="O125" s="13"/>
      <c r="P125" s="13"/>
      <c r="Q125" s="11" t="str">
        <f aca="false">IF(M125="","",IFERROR(E125/M125,""))</f>
        <v/>
      </c>
      <c r="R125" s="14" t="str">
        <f aca="false">IF(M125="","",IFERROR(F125/M125,""))</f>
        <v/>
      </c>
      <c r="S125" s="13"/>
    </row>
    <row r="126" customFormat="false" ht="15" hidden="false" customHeight="false" outlineLevel="0" collapsed="false">
      <c r="A126" s="7" t="s">
        <v>254</v>
      </c>
      <c r="B126" s="7" t="s">
        <v>29</v>
      </c>
      <c r="C126" s="7" t="n">
        <v>1</v>
      </c>
      <c r="D126" s="10" t="n">
        <v>25000</v>
      </c>
      <c r="E126" s="10" t="n">
        <v>25000</v>
      </c>
      <c r="F126" s="10" t="n">
        <v>3090000000</v>
      </c>
      <c r="G126" s="7" t="s">
        <v>132</v>
      </c>
      <c r="H126" s="7" t="s">
        <v>141</v>
      </c>
      <c r="I126" s="7" t="s">
        <v>255</v>
      </c>
      <c r="J126" s="7" t="s">
        <v>36</v>
      </c>
      <c r="K126" s="11" t="n">
        <f aca="false">IFERROR(E126/F126,"")</f>
        <v>8.09061488673139E-006</v>
      </c>
      <c r="L126" s="15"/>
      <c r="M126" s="12"/>
      <c r="N126" s="13"/>
      <c r="O126" s="13"/>
      <c r="P126" s="13"/>
      <c r="Q126" s="11" t="str">
        <f aca="false">IF(M126="","",IFERROR(E126/M126,""))</f>
        <v/>
      </c>
      <c r="R126" s="14" t="str">
        <f aca="false">IF(M126="","",IFERROR(F126/M126,""))</f>
        <v/>
      </c>
      <c r="S126" s="13"/>
    </row>
    <row r="127" customFormat="false" ht="15" hidden="false" customHeight="false" outlineLevel="0" collapsed="false">
      <c r="A127" s="7" t="s">
        <v>256</v>
      </c>
      <c r="B127" s="7" t="s">
        <v>60</v>
      </c>
      <c r="C127" s="7" t="n">
        <v>1</v>
      </c>
      <c r="D127" s="10" t="n">
        <v>6000000</v>
      </c>
      <c r="E127" s="10" t="n">
        <v>6000000</v>
      </c>
      <c r="F127" s="10" t="n">
        <v>3000000000</v>
      </c>
      <c r="G127" s="7"/>
      <c r="H127" s="7" t="s">
        <v>30</v>
      </c>
      <c r="I127" s="7"/>
      <c r="J127" s="7" t="s">
        <v>30</v>
      </c>
      <c r="K127" s="11" t="n">
        <f aca="false">IFERROR(E127/F127,"")</f>
        <v>0.002</v>
      </c>
      <c r="L127" s="15"/>
      <c r="M127" s="12"/>
      <c r="N127" s="13"/>
      <c r="O127" s="13"/>
      <c r="P127" s="13"/>
      <c r="Q127" s="11" t="str">
        <f aca="false">IF(M127="","",IFERROR(E127/M127,""))</f>
        <v/>
      </c>
      <c r="R127" s="14" t="str">
        <f aca="false">IF(M127="","",IFERROR(F127/M127,""))</f>
        <v/>
      </c>
      <c r="S127" s="13"/>
    </row>
    <row r="128" customFormat="false" ht="15" hidden="false" customHeight="false" outlineLevel="0" collapsed="false">
      <c r="A128" s="15" t="s">
        <v>257</v>
      </c>
      <c r="B128" s="7" t="s">
        <v>60</v>
      </c>
      <c r="C128" s="7" t="n">
        <v>1</v>
      </c>
      <c r="D128" s="10" t="n">
        <v>150000</v>
      </c>
      <c r="E128" s="10" t="n">
        <v>150000</v>
      </c>
      <c r="F128" s="10" t="n">
        <v>2790000000</v>
      </c>
      <c r="G128" s="7" t="s">
        <v>132</v>
      </c>
      <c r="H128" s="7" t="s">
        <v>141</v>
      </c>
      <c r="I128" s="7" t="s">
        <v>258</v>
      </c>
      <c r="J128" s="7" t="s">
        <v>54</v>
      </c>
      <c r="K128" s="11" t="n">
        <f aca="false">IFERROR(E128/F128,"")</f>
        <v>5.37634408602151E-005</v>
      </c>
      <c r="L128" s="15"/>
      <c r="M128" s="12"/>
      <c r="N128" s="13"/>
      <c r="O128" s="13"/>
      <c r="P128" s="13"/>
      <c r="Q128" s="11" t="str">
        <f aca="false">IF(M128="","",IFERROR(E128/M128,""))</f>
        <v/>
      </c>
      <c r="R128" s="14" t="str">
        <f aca="false">IF(M128="","",IFERROR(F128/M128,""))</f>
        <v/>
      </c>
      <c r="S128" s="13"/>
    </row>
    <row r="129" customFormat="false" ht="15" hidden="false" customHeight="false" outlineLevel="0" collapsed="false">
      <c r="A129" s="7" t="s">
        <v>259</v>
      </c>
      <c r="B129" s="7" t="s">
        <v>60</v>
      </c>
      <c r="C129" s="7" t="n">
        <v>1</v>
      </c>
      <c r="D129" s="10" t="n">
        <v>20000</v>
      </c>
      <c r="E129" s="10" t="n">
        <v>20000</v>
      </c>
      <c r="F129" s="10" t="n">
        <v>2717000000</v>
      </c>
      <c r="G129" s="7" t="s">
        <v>132</v>
      </c>
      <c r="H129" s="7" t="s">
        <v>141</v>
      </c>
      <c r="I129" s="7" t="s">
        <v>260</v>
      </c>
      <c r="J129" s="7" t="s">
        <v>36</v>
      </c>
      <c r="K129" s="11" t="n">
        <f aca="false">IFERROR(E129/F129,"")</f>
        <v>7.36105999263894E-006</v>
      </c>
      <c r="L129" s="15"/>
      <c r="M129" s="12"/>
      <c r="N129" s="13"/>
      <c r="O129" s="13"/>
      <c r="P129" s="13"/>
      <c r="Q129" s="11" t="str">
        <f aca="false">IF(M129="","",IFERROR(E129/M129,""))</f>
        <v/>
      </c>
      <c r="R129" s="14" t="str">
        <f aca="false">IF(M129="","",IFERROR(F129/M129,""))</f>
        <v/>
      </c>
      <c r="S129" s="13"/>
    </row>
    <row r="130" customFormat="false" ht="15" hidden="false" customHeight="false" outlineLevel="0" collapsed="false">
      <c r="A130" s="7" t="s">
        <v>261</v>
      </c>
      <c r="B130" s="7" t="s">
        <v>88</v>
      </c>
      <c r="C130" s="7" t="n">
        <v>1</v>
      </c>
      <c r="D130" s="10" t="n">
        <v>134000</v>
      </c>
      <c r="E130" s="10" t="n">
        <v>134000</v>
      </c>
      <c r="F130" s="10" t="n">
        <v>2287800000</v>
      </c>
      <c r="G130" s="7"/>
      <c r="H130" s="7" t="s">
        <v>30</v>
      </c>
      <c r="I130" s="7"/>
      <c r="J130" s="7" t="s">
        <v>30</v>
      </c>
      <c r="K130" s="11" t="n">
        <f aca="false">IFERROR(E130/F130,"")</f>
        <v>5.85715534574701E-005</v>
      </c>
      <c r="L130" s="15"/>
      <c r="M130" s="12"/>
      <c r="N130" s="13"/>
      <c r="O130" s="13"/>
      <c r="P130" s="13"/>
      <c r="Q130" s="11" t="str">
        <f aca="false">IF(M130="","",IFERROR(E130/M130,""))</f>
        <v/>
      </c>
      <c r="R130" s="14" t="str">
        <f aca="false">IF(M130="","",IFERROR(F130/M130,""))</f>
        <v/>
      </c>
      <c r="S130" s="13"/>
    </row>
    <row r="131" customFormat="false" ht="15" hidden="false" customHeight="false" outlineLevel="0" collapsed="false">
      <c r="A131" s="7" t="s">
        <v>262</v>
      </c>
      <c r="B131" s="7" t="s">
        <v>204</v>
      </c>
      <c r="C131" s="7" t="n">
        <v>1</v>
      </c>
      <c r="D131" s="10" t="n">
        <v>300000</v>
      </c>
      <c r="E131" s="10" t="n">
        <v>300000</v>
      </c>
      <c r="F131" s="10" t="n">
        <v>2067100000</v>
      </c>
      <c r="G131" s="7" t="s">
        <v>132</v>
      </c>
      <c r="H131" s="7" t="s">
        <v>135</v>
      </c>
      <c r="I131" s="7" t="s">
        <v>263</v>
      </c>
      <c r="J131" s="7" t="s">
        <v>36</v>
      </c>
      <c r="K131" s="11" t="n">
        <f aca="false">IFERROR(E131/F131,"")</f>
        <v>0.000145130859658459</v>
      </c>
      <c r="L131" s="15"/>
      <c r="M131" s="12"/>
      <c r="N131" s="13"/>
      <c r="O131" s="13"/>
      <c r="P131" s="13"/>
      <c r="Q131" s="11" t="str">
        <f aca="false">IF(M131="","",IFERROR(E131/M131,""))</f>
        <v/>
      </c>
      <c r="R131" s="14" t="str">
        <f aca="false">IF(M131="","",IFERROR(F131/M131,""))</f>
        <v/>
      </c>
      <c r="S131" s="13"/>
    </row>
    <row r="132" customFormat="false" ht="15" hidden="false" customHeight="false" outlineLevel="0" collapsed="false">
      <c r="A132" s="7" t="s">
        <v>264</v>
      </c>
      <c r="B132" s="7" t="s">
        <v>67</v>
      </c>
      <c r="C132" s="7" t="n">
        <v>1</v>
      </c>
      <c r="D132" s="10" t="n">
        <v>525000</v>
      </c>
      <c r="E132" s="10" t="n">
        <v>525000</v>
      </c>
      <c r="F132" s="10" t="n">
        <v>1790000000</v>
      </c>
      <c r="G132" s="7" t="s">
        <v>132</v>
      </c>
      <c r="H132" s="7" t="s">
        <v>141</v>
      </c>
      <c r="I132" s="7" t="s">
        <v>265</v>
      </c>
      <c r="J132" s="7" t="s">
        <v>54</v>
      </c>
      <c r="K132" s="11" t="n">
        <f aca="false">IFERROR(E132/F132,"")</f>
        <v>0.000293296089385475</v>
      </c>
      <c r="L132" s="15"/>
      <c r="M132" s="12"/>
      <c r="N132" s="13"/>
      <c r="O132" s="13"/>
      <c r="P132" s="13"/>
      <c r="Q132" s="11" t="str">
        <f aca="false">IF(M132="","",IFERROR(E132/M132,""))</f>
        <v/>
      </c>
      <c r="R132" s="14" t="str">
        <f aca="false">IF(M132="","",IFERROR(F132/M132,""))</f>
        <v/>
      </c>
      <c r="S132" s="13"/>
    </row>
    <row r="133" customFormat="false" ht="15" hidden="false" customHeight="false" outlineLevel="0" collapsed="false">
      <c r="A133" s="7" t="s">
        <v>266</v>
      </c>
      <c r="B133" s="7" t="s">
        <v>108</v>
      </c>
      <c r="C133" s="7" t="n">
        <v>1</v>
      </c>
      <c r="D133" s="10" t="n">
        <v>100000</v>
      </c>
      <c r="E133" s="10" t="n">
        <v>100000</v>
      </c>
      <c r="F133" s="10" t="n">
        <v>1586100000</v>
      </c>
      <c r="G133" s="7" t="s">
        <v>132</v>
      </c>
      <c r="H133" s="7" t="s">
        <v>133</v>
      </c>
      <c r="I133" s="7" t="s">
        <v>267</v>
      </c>
      <c r="J133" s="7" t="s">
        <v>165</v>
      </c>
      <c r="K133" s="11" t="n">
        <f aca="false">IFERROR(E133/F133,"")</f>
        <v>6.3047727129437E-005</v>
      </c>
      <c r="L133" s="15"/>
      <c r="M133" s="12"/>
      <c r="N133" s="13"/>
      <c r="O133" s="13"/>
      <c r="P133" s="13"/>
      <c r="Q133" s="11" t="str">
        <f aca="false">IF(M133="","",IFERROR(E133/M133,""))</f>
        <v/>
      </c>
      <c r="R133" s="14" t="str">
        <f aca="false">IF(M133="","",IFERROR(F133/M133,""))</f>
        <v/>
      </c>
      <c r="S133" s="13"/>
    </row>
    <row r="134" customFormat="false" ht="15" hidden="false" customHeight="false" outlineLevel="0" collapsed="false">
      <c r="A134" s="7" t="s">
        <v>268</v>
      </c>
      <c r="B134" s="7" t="s">
        <v>75</v>
      </c>
      <c r="C134" s="7" t="n">
        <v>1</v>
      </c>
      <c r="D134" s="10" t="n">
        <v>720000</v>
      </c>
      <c r="E134" s="10" t="n">
        <v>720000</v>
      </c>
      <c r="F134" s="10" t="n">
        <v>1374889000</v>
      </c>
      <c r="G134" s="7" t="s">
        <v>140</v>
      </c>
      <c r="H134" s="7" t="s">
        <v>145</v>
      </c>
      <c r="I134" s="7" t="s">
        <v>205</v>
      </c>
      <c r="J134" s="7" t="s">
        <v>165</v>
      </c>
      <c r="K134" s="11" t="n">
        <f aca="false">IFERROR(E134/F134,"")</f>
        <v>0.000523678638784658</v>
      </c>
      <c r="L134" s="15"/>
      <c r="M134" s="12"/>
      <c r="N134" s="13"/>
      <c r="O134" s="13"/>
      <c r="P134" s="13"/>
      <c r="Q134" s="11" t="str">
        <f aca="false">IF(M134="","",IFERROR(E134/M134,""))</f>
        <v/>
      </c>
      <c r="R134" s="14" t="str">
        <f aca="false">IF(M134="","",IFERROR(F134/M134,""))</f>
        <v/>
      </c>
      <c r="S134" s="13"/>
    </row>
    <row r="135" customFormat="false" ht="15" hidden="false" customHeight="false" outlineLevel="0" collapsed="false">
      <c r="A135" s="7" t="s">
        <v>269</v>
      </c>
      <c r="B135" s="7" t="s">
        <v>204</v>
      </c>
      <c r="C135" s="7" t="n">
        <v>1</v>
      </c>
      <c r="D135" s="10" t="n">
        <v>900000</v>
      </c>
      <c r="E135" s="10" t="n">
        <v>900000</v>
      </c>
      <c r="F135" s="10" t="n">
        <v>1050600000</v>
      </c>
      <c r="G135" s="7"/>
      <c r="H135" s="7" t="s">
        <v>30</v>
      </c>
      <c r="I135" s="7"/>
      <c r="J135" s="7" t="s">
        <v>30</v>
      </c>
      <c r="K135" s="11" t="n">
        <f aca="false">IFERROR(E135/F135,"")</f>
        <v>0.00085665334094803</v>
      </c>
      <c r="L135" s="15"/>
      <c r="M135" s="12"/>
      <c r="N135" s="13"/>
      <c r="O135" s="13"/>
      <c r="P135" s="13"/>
      <c r="Q135" s="11" t="str">
        <f aca="false">IF(M135="","",IFERROR(E135/M135,""))</f>
        <v/>
      </c>
      <c r="R135" s="14" t="str">
        <f aca="false">IF(M135="","",IFERROR(F135/M135,""))</f>
        <v/>
      </c>
      <c r="S135" s="13"/>
    </row>
    <row r="136" customFormat="false" ht="15" hidden="false" customHeight="false" outlineLevel="0" collapsed="false">
      <c r="A136" s="7" t="s">
        <v>270</v>
      </c>
      <c r="B136" s="7" t="s">
        <v>49</v>
      </c>
      <c r="C136" s="7" t="n">
        <v>1</v>
      </c>
      <c r="D136" s="10" t="n">
        <v>3000</v>
      </c>
      <c r="E136" s="10" t="n">
        <v>3000</v>
      </c>
      <c r="F136" s="10" t="n">
        <v>980000000</v>
      </c>
      <c r="G136" s="7"/>
      <c r="H136" s="7" t="s">
        <v>30</v>
      </c>
      <c r="I136" s="7"/>
      <c r="J136" s="7" t="s">
        <v>30</v>
      </c>
      <c r="K136" s="11" t="n">
        <f aca="false">IFERROR(E136/F136,"")</f>
        <v>3.06122448979592E-006</v>
      </c>
      <c r="L136" s="15"/>
      <c r="M136" s="12"/>
      <c r="N136" s="13"/>
      <c r="O136" s="13"/>
      <c r="P136" s="13"/>
      <c r="Q136" s="11" t="str">
        <f aca="false">IF(M136="","",IFERROR(E136/M136,""))</f>
        <v/>
      </c>
      <c r="R136" s="14" t="str">
        <f aca="false">IF(M136="","",IFERROR(F136/M136,""))</f>
        <v/>
      </c>
      <c r="S136" s="13"/>
    </row>
    <row r="137" customFormat="false" ht="15" hidden="false" customHeight="false" outlineLevel="0" collapsed="false">
      <c r="A137" s="7" t="s">
        <v>271</v>
      </c>
      <c r="B137" s="7" t="s">
        <v>49</v>
      </c>
      <c r="C137" s="7" t="n">
        <v>1</v>
      </c>
      <c r="D137" s="10" t="n">
        <v>10000</v>
      </c>
      <c r="E137" s="10" t="n">
        <v>10000</v>
      </c>
      <c r="F137" s="10" t="n">
        <v>980000000</v>
      </c>
      <c r="G137" s="7"/>
      <c r="H137" s="7" t="s">
        <v>30</v>
      </c>
      <c r="I137" s="7"/>
      <c r="J137" s="7" t="s">
        <v>30</v>
      </c>
      <c r="K137" s="11" t="n">
        <f aca="false">IFERROR(E137/F137,"")</f>
        <v>1.02040816326531E-005</v>
      </c>
      <c r="L137" s="15"/>
      <c r="M137" s="12"/>
      <c r="N137" s="13"/>
      <c r="O137" s="13"/>
      <c r="P137" s="13"/>
      <c r="Q137" s="11" t="str">
        <f aca="false">IF(M137="","",IFERROR(E137/M137,""))</f>
        <v/>
      </c>
      <c r="R137" s="14" t="str">
        <f aca="false">IF(M137="","",IFERROR(F137/M137,""))</f>
        <v/>
      </c>
      <c r="S137" s="13"/>
    </row>
    <row r="138" customFormat="false" ht="15" hidden="false" customHeight="false" outlineLevel="0" collapsed="false">
      <c r="A138" s="7" t="s">
        <v>272</v>
      </c>
      <c r="B138" s="7" t="s">
        <v>49</v>
      </c>
      <c r="C138" s="7" t="n">
        <v>1</v>
      </c>
      <c r="D138" s="10" t="n">
        <v>2000</v>
      </c>
      <c r="E138" s="10" t="n">
        <v>2000</v>
      </c>
      <c r="F138" s="10" t="n">
        <v>980000000</v>
      </c>
      <c r="G138" s="7"/>
      <c r="H138" s="7" t="s">
        <v>30</v>
      </c>
      <c r="I138" s="7"/>
      <c r="J138" s="7" t="s">
        <v>30</v>
      </c>
      <c r="K138" s="11" t="n">
        <f aca="false">IFERROR(E138/F138,"")</f>
        <v>2.04081632653061E-006</v>
      </c>
      <c r="L138" s="15"/>
      <c r="M138" s="12"/>
      <c r="N138" s="13"/>
      <c r="O138" s="13"/>
      <c r="P138" s="13"/>
      <c r="Q138" s="11" t="str">
        <f aca="false">IF(M138="","",IFERROR(E138/M138,""))</f>
        <v/>
      </c>
      <c r="R138" s="14" t="str">
        <f aca="false">IF(M138="","",IFERROR(F138/M138,""))</f>
        <v/>
      </c>
      <c r="S138" s="13"/>
    </row>
    <row r="139" customFormat="false" ht="15" hidden="false" customHeight="false" outlineLevel="0" collapsed="false">
      <c r="A139" s="7" t="s">
        <v>273</v>
      </c>
      <c r="B139" s="7" t="s">
        <v>49</v>
      </c>
      <c r="C139" s="7" t="n">
        <v>1</v>
      </c>
      <c r="D139" s="10" t="n">
        <v>100000</v>
      </c>
      <c r="E139" s="10" t="n">
        <v>100000</v>
      </c>
      <c r="F139" s="10" t="n">
        <v>908600000</v>
      </c>
      <c r="G139" s="7"/>
      <c r="H139" s="7" t="s">
        <v>30</v>
      </c>
      <c r="I139" s="7"/>
      <c r="J139" s="7" t="s">
        <v>30</v>
      </c>
      <c r="K139" s="11" t="n">
        <f aca="false">IFERROR(E139/F139,"")</f>
        <v>0.00011005943209333</v>
      </c>
      <c r="L139" s="15"/>
      <c r="M139" s="12"/>
      <c r="N139" s="13"/>
      <c r="O139" s="13"/>
      <c r="P139" s="13"/>
      <c r="Q139" s="11" t="str">
        <f aca="false">IF(M139="","",IFERROR(E139/M139,""))</f>
        <v/>
      </c>
      <c r="R139" s="14" t="str">
        <f aca="false">IF(M139="","",IFERROR(F139/M139,""))</f>
        <v/>
      </c>
      <c r="S139" s="13"/>
    </row>
    <row r="140" customFormat="false" ht="15" hidden="false" customHeight="false" outlineLevel="0" collapsed="false">
      <c r="A140" s="7" t="s">
        <v>274</v>
      </c>
      <c r="B140" s="7" t="s">
        <v>49</v>
      </c>
      <c r="C140" s="7" t="n">
        <v>1</v>
      </c>
      <c r="D140" s="10" t="n">
        <v>3000</v>
      </c>
      <c r="E140" s="10" t="n">
        <v>3000</v>
      </c>
      <c r="F140" s="10" t="n">
        <v>754219600</v>
      </c>
      <c r="G140" s="7"/>
      <c r="H140" s="7" t="s">
        <v>30</v>
      </c>
      <c r="I140" s="7"/>
      <c r="J140" s="7" t="s">
        <v>30</v>
      </c>
      <c r="K140" s="11" t="n">
        <f aca="false">IFERROR(E140/F140,"")</f>
        <v>3.97762137181267E-006</v>
      </c>
      <c r="L140" s="15"/>
      <c r="M140" s="12"/>
      <c r="N140" s="13"/>
      <c r="O140" s="13"/>
      <c r="P140" s="13"/>
      <c r="Q140" s="11" t="str">
        <f aca="false">IF(M140="","",IFERROR(E140/M140,""))</f>
        <v/>
      </c>
      <c r="R140" s="14" t="str">
        <f aca="false">IF(M140="","",IFERROR(F140/M140,""))</f>
        <v/>
      </c>
      <c r="S140" s="13"/>
    </row>
    <row r="141" customFormat="false" ht="15" hidden="false" customHeight="false" outlineLevel="0" collapsed="false">
      <c r="A141" s="7" t="s">
        <v>275</v>
      </c>
      <c r="B141" s="7" t="s">
        <v>276</v>
      </c>
      <c r="C141" s="7" t="n">
        <v>1</v>
      </c>
      <c r="D141" s="10" t="n">
        <v>40000</v>
      </c>
      <c r="E141" s="10" t="n">
        <v>40000</v>
      </c>
      <c r="F141" s="10" t="n">
        <v>748900000</v>
      </c>
      <c r="G141" s="7"/>
      <c r="H141" s="7" t="s">
        <v>30</v>
      </c>
      <c r="I141" s="7"/>
      <c r="J141" s="7" t="s">
        <v>30</v>
      </c>
      <c r="K141" s="11" t="n">
        <f aca="false">IFERROR(E141/F141,"")</f>
        <v>5.34116704499933E-005</v>
      </c>
      <c r="L141" s="15"/>
      <c r="M141" s="12"/>
      <c r="N141" s="13"/>
      <c r="O141" s="13"/>
      <c r="P141" s="13"/>
      <c r="Q141" s="11" t="str">
        <f aca="false">IF(M141="","",IFERROR(E141/M141,""))</f>
        <v/>
      </c>
      <c r="R141" s="14" t="str">
        <f aca="false">IF(M141="","",IFERROR(F141/M141,""))</f>
        <v/>
      </c>
      <c r="S141" s="13"/>
    </row>
    <row r="142" customFormat="false" ht="15" hidden="false" customHeight="false" outlineLevel="0" collapsed="false">
      <c r="A142" s="7" t="s">
        <v>277</v>
      </c>
      <c r="B142" s="7" t="s">
        <v>204</v>
      </c>
      <c r="C142" s="7" t="n">
        <v>1</v>
      </c>
      <c r="D142" s="10" t="n">
        <v>1240000</v>
      </c>
      <c r="E142" s="10" t="n">
        <v>1240000</v>
      </c>
      <c r="F142" s="10" t="n">
        <v>611949600</v>
      </c>
      <c r="G142" s="7"/>
      <c r="H142" s="7" t="s">
        <v>30</v>
      </c>
      <c r="I142" s="7"/>
      <c r="J142" s="7" t="s">
        <v>30</v>
      </c>
      <c r="K142" s="11" t="n">
        <f aca="false">IFERROR(E142/F142,"")</f>
        <v>0.00202631066349255</v>
      </c>
      <c r="L142" s="15"/>
      <c r="M142" s="12"/>
      <c r="N142" s="13"/>
      <c r="O142" s="13"/>
      <c r="P142" s="13"/>
      <c r="Q142" s="11" t="str">
        <f aca="false">IF(M142="","",IFERROR(E142/M142,""))</f>
        <v/>
      </c>
      <c r="R142" s="14" t="str">
        <f aca="false">IF(M142="","",IFERROR(F142/M142,""))</f>
        <v/>
      </c>
      <c r="S142" s="13"/>
    </row>
    <row r="143" customFormat="false" ht="15" hidden="false" customHeight="false" outlineLevel="0" collapsed="false">
      <c r="A143" s="7" t="s">
        <v>278</v>
      </c>
      <c r="B143" s="7" t="s">
        <v>176</v>
      </c>
      <c r="C143" s="7" t="n">
        <v>1</v>
      </c>
      <c r="D143" s="10" t="n">
        <v>511000</v>
      </c>
      <c r="E143" s="10" t="n">
        <v>511000</v>
      </c>
      <c r="F143" s="10" t="n">
        <v>450381000</v>
      </c>
      <c r="G143" s="7"/>
      <c r="H143" s="7" t="s">
        <v>30</v>
      </c>
      <c r="I143" s="7"/>
      <c r="J143" s="7" t="s">
        <v>30</v>
      </c>
      <c r="K143" s="11" t="n">
        <f aca="false">IFERROR(E143/F143,"")</f>
        <v>0.00113459493184659</v>
      </c>
      <c r="L143" s="15"/>
      <c r="M143" s="12"/>
      <c r="N143" s="13"/>
      <c r="O143" s="13"/>
      <c r="P143" s="13"/>
      <c r="Q143" s="11" t="str">
        <f aca="false">IF(M143="","",IFERROR(E143/M143,""))</f>
        <v/>
      </c>
      <c r="R143" s="14" t="str">
        <f aca="false">IF(M143="","",IFERROR(F143/M143,""))</f>
        <v/>
      </c>
      <c r="S143" s="13"/>
    </row>
    <row r="144" customFormat="false" ht="15" hidden="false" customHeight="false" outlineLevel="0" collapsed="false">
      <c r="A144" s="7" t="s">
        <v>279</v>
      </c>
      <c r="B144" s="7" t="s">
        <v>88</v>
      </c>
      <c r="C144" s="7" t="n">
        <v>1</v>
      </c>
      <c r="D144" s="10" t="n">
        <v>900000</v>
      </c>
      <c r="E144" s="10" t="n">
        <v>900000</v>
      </c>
      <c r="F144" s="10" t="n">
        <v>414200000</v>
      </c>
      <c r="G144" s="7" t="s">
        <v>132</v>
      </c>
      <c r="H144" s="7" t="s">
        <v>133</v>
      </c>
      <c r="I144" s="7" t="s">
        <v>280</v>
      </c>
      <c r="J144" s="7" t="s">
        <v>36</v>
      </c>
      <c r="K144" s="11" t="n">
        <f aca="false">IFERROR(E144/F144,"")</f>
        <v>0.00217286335103815</v>
      </c>
      <c r="L144" s="15"/>
      <c r="M144" s="12"/>
      <c r="N144" s="13"/>
      <c r="O144" s="13"/>
      <c r="P144" s="13"/>
      <c r="Q144" s="11" t="str">
        <f aca="false">IF(M144="","",IFERROR(E144/M144,""))</f>
        <v/>
      </c>
      <c r="R144" s="14" t="str">
        <f aca="false">IF(M144="","",IFERROR(F144/M144,""))</f>
        <v/>
      </c>
      <c r="S144" s="13"/>
    </row>
    <row r="145" customFormat="false" ht="15" hidden="false" customHeight="false" outlineLevel="0" collapsed="false">
      <c r="A145" s="7" t="s">
        <v>281</v>
      </c>
      <c r="B145" s="7" t="s">
        <v>75</v>
      </c>
      <c r="C145" s="7" t="n">
        <v>1</v>
      </c>
      <c r="D145" s="10" t="n">
        <v>2900000</v>
      </c>
      <c r="E145" s="10" t="n">
        <v>2900000</v>
      </c>
      <c r="F145" s="10" t="n">
        <v>341930000</v>
      </c>
      <c r="G145" s="7"/>
      <c r="H145" s="7" t="s">
        <v>30</v>
      </c>
      <c r="I145" s="7"/>
      <c r="J145" s="7" t="s">
        <v>30</v>
      </c>
      <c r="K145" s="11" t="n">
        <f aca="false">IFERROR(E145/F145,"")</f>
        <v>0.00848126809580908</v>
      </c>
      <c r="L145" s="15"/>
      <c r="M145" s="12"/>
      <c r="N145" s="13"/>
      <c r="O145" s="13"/>
      <c r="P145" s="13"/>
      <c r="Q145" s="11" t="str">
        <f aca="false">IF(M145="","",IFERROR(E145/M145,""))</f>
        <v/>
      </c>
      <c r="R145" s="14" t="str">
        <f aca="false">IF(M145="","",IFERROR(F145/M145,""))</f>
        <v/>
      </c>
      <c r="S145" s="13"/>
    </row>
    <row r="146" customFormat="false" ht="15" hidden="false" customHeight="false" outlineLevel="0" collapsed="false">
      <c r="A146" s="7" t="s">
        <v>282</v>
      </c>
      <c r="B146" s="7" t="s">
        <v>49</v>
      </c>
      <c r="C146" s="7" t="n">
        <v>1</v>
      </c>
      <c r="D146" s="10" t="n">
        <v>20000</v>
      </c>
      <c r="E146" s="10" t="n">
        <v>20000</v>
      </c>
      <c r="F146" s="10" t="n">
        <v>337096260</v>
      </c>
      <c r="G146" s="7"/>
      <c r="H146" s="7" t="s">
        <v>30</v>
      </c>
      <c r="I146" s="7"/>
      <c r="J146" s="7" t="s">
        <v>30</v>
      </c>
      <c r="K146" s="11" t="n">
        <f aca="false">IFERROR(E146/F146,"")</f>
        <v>5.93302340405675E-005</v>
      </c>
      <c r="L146" s="15"/>
      <c r="M146" s="12"/>
      <c r="N146" s="13"/>
      <c r="O146" s="13"/>
      <c r="P146" s="13"/>
      <c r="Q146" s="11" t="str">
        <f aca="false">IF(M146="","",IFERROR(E146/M146,""))</f>
        <v/>
      </c>
      <c r="R146" s="14" t="str">
        <f aca="false">IF(M146="","",IFERROR(F146/M146,""))</f>
        <v/>
      </c>
      <c r="S146" s="13"/>
    </row>
    <row r="147" customFormat="false" ht="15" hidden="false" customHeight="false" outlineLevel="0" collapsed="false">
      <c r="A147" s="7" t="s">
        <v>283</v>
      </c>
      <c r="B147" s="7" t="s">
        <v>49</v>
      </c>
      <c r="C147" s="7" t="n">
        <v>1</v>
      </c>
      <c r="D147" s="10" t="n">
        <v>5000</v>
      </c>
      <c r="E147" s="10" t="n">
        <v>5000</v>
      </c>
      <c r="F147" s="10" t="n">
        <v>315000000</v>
      </c>
      <c r="G147" s="7"/>
      <c r="H147" s="7" t="s">
        <v>30</v>
      </c>
      <c r="I147" s="7"/>
      <c r="J147" s="7" t="s">
        <v>30</v>
      </c>
      <c r="K147" s="11" t="n">
        <f aca="false">IFERROR(E147/F147,"")</f>
        <v>1.58730158730159E-005</v>
      </c>
      <c r="L147" s="15"/>
      <c r="M147" s="12"/>
      <c r="N147" s="13"/>
      <c r="O147" s="13"/>
      <c r="P147" s="13"/>
      <c r="Q147" s="11" t="str">
        <f aca="false">IF(M147="","",IFERROR(E147/M147,""))</f>
        <v/>
      </c>
      <c r="R147" s="14" t="str">
        <f aca="false">IF(M147="","",IFERROR(F147/M147,""))</f>
        <v/>
      </c>
      <c r="S147" s="13"/>
    </row>
    <row r="148" customFormat="false" ht="15" hidden="false" customHeight="false" outlineLevel="0" collapsed="false">
      <c r="A148" s="7" t="s">
        <v>284</v>
      </c>
      <c r="B148" s="7" t="s">
        <v>49</v>
      </c>
      <c r="C148" s="7" t="n">
        <v>1</v>
      </c>
      <c r="D148" s="10" t="n">
        <v>20000</v>
      </c>
      <c r="E148" s="10" t="n">
        <v>20000</v>
      </c>
      <c r="F148" s="10" t="n">
        <v>302000000</v>
      </c>
      <c r="G148" s="7"/>
      <c r="H148" s="7" t="s">
        <v>30</v>
      </c>
      <c r="I148" s="7"/>
      <c r="J148" s="7" t="s">
        <v>30</v>
      </c>
      <c r="K148" s="11" t="n">
        <f aca="false">IFERROR(E148/F148,"")</f>
        <v>6.62251655629139E-005</v>
      </c>
      <c r="L148" s="15"/>
      <c r="M148" s="12"/>
      <c r="N148" s="13"/>
      <c r="O148" s="13"/>
      <c r="P148" s="13"/>
      <c r="Q148" s="11" t="str">
        <f aca="false">IF(M148="","",IFERROR(E148/M148,""))</f>
        <v/>
      </c>
      <c r="R148" s="14" t="str">
        <f aca="false">IF(M148="","",IFERROR(F148/M148,""))</f>
        <v/>
      </c>
      <c r="S148" s="13"/>
    </row>
    <row r="149" customFormat="false" ht="15" hidden="false" customHeight="false" outlineLevel="0" collapsed="false">
      <c r="A149" s="7" t="s">
        <v>285</v>
      </c>
      <c r="B149" s="7" t="s">
        <v>286</v>
      </c>
      <c r="C149" s="7" t="n">
        <v>1</v>
      </c>
      <c r="D149" s="10" t="n">
        <v>25000</v>
      </c>
      <c r="E149" s="10" t="n">
        <v>25000</v>
      </c>
      <c r="F149" s="10" t="n">
        <v>284100000</v>
      </c>
      <c r="G149" s="7"/>
      <c r="H149" s="7" t="s">
        <v>30</v>
      </c>
      <c r="I149" s="7"/>
      <c r="J149" s="7" t="s">
        <v>30</v>
      </c>
      <c r="K149" s="11" t="n">
        <f aca="false">IFERROR(E149/F149,"")</f>
        <v>8.79971840901091E-005</v>
      </c>
      <c r="L149" s="15"/>
      <c r="M149" s="12"/>
      <c r="N149" s="13"/>
      <c r="O149" s="13"/>
      <c r="P149" s="13"/>
      <c r="Q149" s="11" t="str">
        <f aca="false">IF(M149="","",IFERROR(E149/M149,""))</f>
        <v/>
      </c>
      <c r="R149" s="14" t="str">
        <f aca="false">IF(M149="","",IFERROR(F149/M149,""))</f>
        <v/>
      </c>
      <c r="S149" s="13"/>
    </row>
    <row r="150" customFormat="false" ht="15" hidden="false" customHeight="false" outlineLevel="0" collapsed="false">
      <c r="A150" s="7" t="s">
        <v>287</v>
      </c>
      <c r="B150" s="7" t="s">
        <v>108</v>
      </c>
      <c r="C150" s="7" t="n">
        <v>1</v>
      </c>
      <c r="D150" s="10" t="n">
        <v>85000</v>
      </c>
      <c r="E150" s="10" t="n">
        <v>85000</v>
      </c>
      <c r="F150" s="10" t="n">
        <v>232800000</v>
      </c>
      <c r="G150" s="7" t="s">
        <v>132</v>
      </c>
      <c r="H150" s="7" t="s">
        <v>135</v>
      </c>
      <c r="I150" s="7" t="s">
        <v>142</v>
      </c>
      <c r="J150" s="7" t="s">
        <v>165</v>
      </c>
      <c r="K150" s="11" t="n">
        <f aca="false">IFERROR(E150/F150,"")</f>
        <v>0.000365120274914089</v>
      </c>
      <c r="L150" s="15"/>
      <c r="M150" s="12"/>
      <c r="N150" s="13"/>
      <c r="O150" s="13"/>
      <c r="P150" s="13"/>
      <c r="Q150" s="11" t="str">
        <f aca="false">IF(M150="","",IFERROR(E150/M150,""))</f>
        <v/>
      </c>
      <c r="R150" s="14" t="str">
        <f aca="false">IF(M150="","",IFERROR(F150/M150,""))</f>
        <v/>
      </c>
      <c r="S150" s="13"/>
    </row>
    <row r="151" customFormat="false" ht="15" hidden="false" customHeight="false" outlineLevel="0" collapsed="false">
      <c r="A151" s="7" t="s">
        <v>274</v>
      </c>
      <c r="B151" s="7" t="s">
        <v>49</v>
      </c>
      <c r="C151" s="7" t="n">
        <v>1</v>
      </c>
      <c r="D151" s="10" t="n">
        <v>4150</v>
      </c>
      <c r="E151" s="10" t="n">
        <v>4150</v>
      </c>
      <c r="F151" s="10" t="n">
        <v>232000000</v>
      </c>
      <c r="G151" s="7"/>
      <c r="H151" s="7" t="s">
        <v>30</v>
      </c>
      <c r="I151" s="7"/>
      <c r="J151" s="7" t="s">
        <v>30</v>
      </c>
      <c r="K151" s="11" t="n">
        <f aca="false">IFERROR(E151/F151,"")</f>
        <v>1.78879310344828E-005</v>
      </c>
      <c r="L151" s="15"/>
      <c r="M151" s="12"/>
      <c r="N151" s="13"/>
      <c r="O151" s="13"/>
      <c r="P151" s="13"/>
      <c r="Q151" s="11" t="str">
        <f aca="false">IF(M151="","",IFERROR(E151/M151,""))</f>
        <v/>
      </c>
      <c r="R151" s="14" t="str">
        <f aca="false">IF(M151="","",IFERROR(F151/M151,""))</f>
        <v/>
      </c>
      <c r="S151" s="13"/>
    </row>
    <row r="152" customFormat="false" ht="15" hidden="false" customHeight="false" outlineLevel="0" collapsed="false">
      <c r="A152" s="7" t="s">
        <v>288</v>
      </c>
      <c r="B152" s="7" t="s">
        <v>29</v>
      </c>
      <c r="C152" s="7" t="n">
        <v>1</v>
      </c>
      <c r="D152" s="10" t="n">
        <v>12000</v>
      </c>
      <c r="E152" s="10" t="n">
        <v>12000</v>
      </c>
      <c r="F152" s="10" t="n">
        <v>186000000</v>
      </c>
      <c r="G152" s="7"/>
      <c r="H152" s="7" t="s">
        <v>30</v>
      </c>
      <c r="I152" s="7"/>
      <c r="J152" s="7" t="s">
        <v>30</v>
      </c>
      <c r="K152" s="11" t="n">
        <f aca="false">IFERROR(E152/F152,"")</f>
        <v>6.45161290322581E-005</v>
      </c>
      <c r="L152" s="15"/>
      <c r="M152" s="12"/>
      <c r="N152" s="13"/>
      <c r="O152" s="13"/>
      <c r="P152" s="13"/>
      <c r="Q152" s="11" t="str">
        <f aca="false">IF(M152="","",IFERROR(E152/M152,""))</f>
        <v/>
      </c>
      <c r="R152" s="14" t="str">
        <f aca="false">IF(M152="","",IFERROR(F152/M152,""))</f>
        <v/>
      </c>
      <c r="S152" s="13"/>
    </row>
    <row r="153" customFormat="false" ht="15" hidden="false" customHeight="false" outlineLevel="0" collapsed="false">
      <c r="A153" s="7" t="s">
        <v>289</v>
      </c>
      <c r="B153" s="7" t="s">
        <v>178</v>
      </c>
      <c r="C153" s="7" t="n">
        <v>1</v>
      </c>
      <c r="D153" s="10" t="n">
        <v>1750000</v>
      </c>
      <c r="E153" s="10" t="n">
        <v>1750000</v>
      </c>
      <c r="F153" s="10" t="n">
        <v>177643200</v>
      </c>
      <c r="G153" s="7"/>
      <c r="H153" s="7" t="s">
        <v>30</v>
      </c>
      <c r="I153" s="7"/>
      <c r="J153" s="7" t="s">
        <v>30</v>
      </c>
      <c r="K153" s="11" t="n">
        <f aca="false">IFERROR(E153/F153,"")</f>
        <v>0.00985120736397453</v>
      </c>
      <c r="L153" s="15"/>
      <c r="M153" s="12"/>
      <c r="N153" s="13"/>
      <c r="O153" s="13"/>
      <c r="P153" s="13"/>
      <c r="Q153" s="11" t="str">
        <f aca="false">IF(M153="","",IFERROR(E153/M153,""))</f>
        <v/>
      </c>
      <c r="R153" s="14" t="str">
        <f aca="false">IF(M153="","",IFERROR(F153/M153,""))</f>
        <v/>
      </c>
      <c r="S153" s="13"/>
    </row>
    <row r="154" customFormat="false" ht="15" hidden="false" customHeight="false" outlineLevel="0" collapsed="false">
      <c r="A154" s="7" t="s">
        <v>290</v>
      </c>
      <c r="B154" s="7" t="s">
        <v>108</v>
      </c>
      <c r="C154" s="7" t="n">
        <v>1</v>
      </c>
      <c r="D154" s="10" t="n">
        <v>440000</v>
      </c>
      <c r="E154" s="10" t="n">
        <v>440000</v>
      </c>
      <c r="F154" s="10" t="n">
        <v>167500000</v>
      </c>
      <c r="G154" s="7" t="s">
        <v>291</v>
      </c>
      <c r="H154" s="7" t="s">
        <v>145</v>
      </c>
      <c r="I154" s="7" t="s">
        <v>205</v>
      </c>
      <c r="J154" s="7" t="s">
        <v>36</v>
      </c>
      <c r="K154" s="11" t="n">
        <f aca="false">IFERROR(E154/F154,"")</f>
        <v>0.00262686567164179</v>
      </c>
      <c r="L154" s="15"/>
      <c r="M154" s="12"/>
      <c r="N154" s="13"/>
      <c r="O154" s="13"/>
      <c r="P154" s="13"/>
      <c r="Q154" s="11" t="str">
        <f aca="false">IF(M154="","",IFERROR(E154/M154,""))</f>
        <v/>
      </c>
      <c r="R154" s="14" t="str">
        <f aca="false">IF(M154="","",IFERROR(F154/M154,""))</f>
        <v/>
      </c>
      <c r="S154" s="13"/>
    </row>
    <row r="155" customFormat="false" ht="15" hidden="false" customHeight="false" outlineLevel="0" collapsed="false">
      <c r="A155" s="7" t="s">
        <v>292</v>
      </c>
      <c r="B155" s="7" t="s">
        <v>49</v>
      </c>
      <c r="C155" s="7" t="n">
        <v>1</v>
      </c>
      <c r="D155" s="10" t="n">
        <v>11000</v>
      </c>
      <c r="E155" s="10" t="n">
        <v>11000</v>
      </c>
      <c r="F155" s="10" t="n">
        <v>150158400</v>
      </c>
      <c r="G155" s="7"/>
      <c r="H155" s="7" t="s">
        <v>30</v>
      </c>
      <c r="I155" s="7"/>
      <c r="J155" s="7" t="s">
        <v>30</v>
      </c>
      <c r="K155" s="11" t="n">
        <f aca="false">IFERROR(E155/F155,"")</f>
        <v>7.32559750237083E-005</v>
      </c>
      <c r="L155" s="15"/>
      <c r="M155" s="12"/>
      <c r="N155" s="13"/>
      <c r="O155" s="13"/>
      <c r="P155" s="13"/>
      <c r="Q155" s="11" t="str">
        <f aca="false">IF(M155="","",IFERROR(E155/M155,""))</f>
        <v/>
      </c>
      <c r="R155" s="14" t="str">
        <f aca="false">IF(M155="","",IFERROR(F155/M155,""))</f>
        <v/>
      </c>
      <c r="S155" s="13"/>
    </row>
    <row r="156" customFormat="false" ht="15" hidden="false" customHeight="false" outlineLevel="0" collapsed="false">
      <c r="A156" s="7" t="s">
        <v>293</v>
      </c>
      <c r="B156" s="7" t="s">
        <v>105</v>
      </c>
      <c r="C156" s="7" t="n">
        <v>1</v>
      </c>
      <c r="D156" s="10" t="n">
        <v>288000</v>
      </c>
      <c r="E156" s="10" t="n">
        <v>288000</v>
      </c>
      <c r="F156" s="10" t="n">
        <v>147796800</v>
      </c>
      <c r="G156" s="7"/>
      <c r="H156" s="7" t="s">
        <v>30</v>
      </c>
      <c r="I156" s="7"/>
      <c r="J156" s="7" t="s">
        <v>30</v>
      </c>
      <c r="K156" s="11" t="n">
        <f aca="false">IFERROR(E156/F156,"")</f>
        <v>0.0019486213503946</v>
      </c>
      <c r="L156" s="15"/>
      <c r="M156" s="12"/>
      <c r="N156" s="13"/>
      <c r="O156" s="13"/>
      <c r="P156" s="13"/>
      <c r="Q156" s="11" t="str">
        <f aca="false">IF(M156="","",IFERROR(E156/M156,""))</f>
        <v/>
      </c>
      <c r="R156" s="14" t="str">
        <f aca="false">IF(M156="","",IFERROR(F156/M156,""))</f>
        <v/>
      </c>
      <c r="S156" s="13"/>
    </row>
    <row r="157" customFormat="false" ht="15" hidden="false" customHeight="false" outlineLevel="0" collapsed="false">
      <c r="A157" s="7" t="s">
        <v>294</v>
      </c>
      <c r="B157" s="7" t="s">
        <v>29</v>
      </c>
      <c r="C157" s="7" t="n">
        <v>1</v>
      </c>
      <c r="D157" s="10" t="n">
        <v>5000</v>
      </c>
      <c r="E157" s="10" t="n">
        <v>5000</v>
      </c>
      <c r="F157" s="10" t="n">
        <v>146870200</v>
      </c>
      <c r="G157" s="7"/>
      <c r="H157" s="7" t="s">
        <v>30</v>
      </c>
      <c r="I157" s="7"/>
      <c r="J157" s="7" t="s">
        <v>30</v>
      </c>
      <c r="K157" s="11" t="n">
        <f aca="false">IFERROR(E157/F157,"")</f>
        <v>3.404366576746E-005</v>
      </c>
      <c r="L157" s="15"/>
      <c r="M157" s="12"/>
      <c r="N157" s="13"/>
      <c r="O157" s="13"/>
      <c r="P157" s="13"/>
      <c r="Q157" s="11" t="str">
        <f aca="false">IF(M157="","",IFERROR(E157/M157,""))</f>
        <v/>
      </c>
      <c r="R157" s="14" t="str">
        <f aca="false">IF(M157="","",IFERROR(F157/M157,""))</f>
        <v/>
      </c>
      <c r="S157" s="13"/>
    </row>
    <row r="158" customFormat="false" ht="15" hidden="false" customHeight="false" outlineLevel="0" collapsed="false">
      <c r="A158" s="7" t="s">
        <v>295</v>
      </c>
      <c r="B158" s="7" t="s">
        <v>97</v>
      </c>
      <c r="C158" s="7" t="n">
        <v>1</v>
      </c>
      <c r="D158" s="10" t="n">
        <v>235300</v>
      </c>
      <c r="E158" s="10" t="n">
        <v>235300</v>
      </c>
      <c r="F158" s="10" t="n">
        <v>133446800</v>
      </c>
      <c r="G158" s="7"/>
      <c r="H158" s="7" t="s">
        <v>30</v>
      </c>
      <c r="I158" s="7"/>
      <c r="J158" s="7" t="s">
        <v>30</v>
      </c>
      <c r="K158" s="11" t="n">
        <f aca="false">IFERROR(E158/F158,"")</f>
        <v>0.00176324947469703</v>
      </c>
      <c r="L158" s="15"/>
      <c r="M158" s="12"/>
      <c r="N158" s="13"/>
      <c r="O158" s="13"/>
      <c r="P158" s="13"/>
      <c r="Q158" s="11" t="str">
        <f aca="false">IF(M158="","",IFERROR(E158/M158,""))</f>
        <v/>
      </c>
      <c r="R158" s="14" t="str">
        <f aca="false">IF(M158="","",IFERROR(F158/M158,""))</f>
        <v/>
      </c>
      <c r="S158" s="13"/>
    </row>
    <row r="159" customFormat="false" ht="15" hidden="false" customHeight="false" outlineLevel="0" collapsed="false">
      <c r="A159" s="7" t="s">
        <v>296</v>
      </c>
      <c r="B159" s="7" t="s">
        <v>236</v>
      </c>
      <c r="C159" s="7" t="n">
        <v>1</v>
      </c>
      <c r="D159" s="10" t="n">
        <v>1405000</v>
      </c>
      <c r="E159" s="10" t="n">
        <v>1405000</v>
      </c>
      <c r="F159" s="10" t="n">
        <v>133260800</v>
      </c>
      <c r="G159" s="7"/>
      <c r="H159" s="7" t="s">
        <v>30</v>
      </c>
      <c r="I159" s="7"/>
      <c r="J159" s="7" t="s">
        <v>30</v>
      </c>
      <c r="K159" s="11" t="n">
        <f aca="false">IFERROR(E159/F159,"")</f>
        <v>0.0105432355201229</v>
      </c>
      <c r="L159" s="15"/>
      <c r="M159" s="12"/>
      <c r="N159" s="13"/>
      <c r="O159" s="13"/>
      <c r="P159" s="13"/>
      <c r="Q159" s="11" t="str">
        <f aca="false">IF(M159="","",IFERROR(E159/M159,""))</f>
        <v/>
      </c>
      <c r="R159" s="14" t="str">
        <f aca="false">IF(M159="","",IFERROR(F159/M159,""))</f>
        <v/>
      </c>
      <c r="S159" s="13"/>
    </row>
    <row r="160" customFormat="false" ht="15" hidden="false" customHeight="false" outlineLevel="0" collapsed="false">
      <c r="A160" s="7" t="s">
        <v>297</v>
      </c>
      <c r="B160" s="7" t="s">
        <v>49</v>
      </c>
      <c r="C160" s="7" t="n">
        <v>1</v>
      </c>
      <c r="D160" s="10" t="n">
        <v>2000</v>
      </c>
      <c r="E160" s="10" t="n">
        <v>2000</v>
      </c>
      <c r="F160" s="10" t="n">
        <v>132681900</v>
      </c>
      <c r="G160" s="7"/>
      <c r="H160" s="7" t="s">
        <v>30</v>
      </c>
      <c r="I160" s="7"/>
      <c r="J160" s="7" t="s">
        <v>30</v>
      </c>
      <c r="K160" s="11" t="n">
        <f aca="false">IFERROR(E160/F160,"")</f>
        <v>1.50736460662683E-005</v>
      </c>
      <c r="L160" s="15"/>
      <c r="M160" s="12"/>
      <c r="N160" s="13"/>
      <c r="O160" s="13"/>
      <c r="P160" s="13"/>
      <c r="Q160" s="11" t="str">
        <f aca="false">IF(M160="","",IFERROR(E160/M160,""))</f>
        <v/>
      </c>
      <c r="R160" s="14" t="str">
        <f aca="false">IF(M160="","",IFERROR(F160/M160,""))</f>
        <v/>
      </c>
      <c r="S160" s="13"/>
    </row>
    <row r="161" customFormat="false" ht="15" hidden="false" customHeight="false" outlineLevel="0" collapsed="false">
      <c r="A161" s="7" t="s">
        <v>298</v>
      </c>
      <c r="B161" s="7" t="s">
        <v>97</v>
      </c>
      <c r="C161" s="7" t="n">
        <v>1</v>
      </c>
      <c r="D161" s="10" t="n">
        <v>660000</v>
      </c>
      <c r="E161" s="10" t="n">
        <v>660000</v>
      </c>
      <c r="F161" s="10" t="n">
        <v>112832000</v>
      </c>
      <c r="G161" s="7"/>
      <c r="H161" s="7" t="s">
        <v>30</v>
      </c>
      <c r="I161" s="7"/>
      <c r="J161" s="7" t="s">
        <v>30</v>
      </c>
      <c r="K161" s="11" t="n">
        <f aca="false">IFERROR(E161/F161,"")</f>
        <v>0.0058494044242768</v>
      </c>
      <c r="L161" s="15"/>
      <c r="M161" s="12"/>
      <c r="N161" s="13"/>
      <c r="O161" s="13"/>
      <c r="P161" s="13"/>
      <c r="Q161" s="11" t="str">
        <f aca="false">IF(M161="","",IFERROR(E161/M161,""))</f>
        <v/>
      </c>
      <c r="R161" s="14" t="str">
        <f aca="false">IF(M161="","",IFERROR(F161/M161,""))</f>
        <v/>
      </c>
      <c r="S161" s="13"/>
    </row>
    <row r="162" customFormat="false" ht="15" hidden="false" customHeight="false" outlineLevel="0" collapsed="false">
      <c r="A162" s="7" t="s">
        <v>299</v>
      </c>
      <c r="B162" s="7" t="s">
        <v>49</v>
      </c>
      <c r="C162" s="7" t="n">
        <v>1</v>
      </c>
      <c r="D162" s="10" t="n">
        <v>2000</v>
      </c>
      <c r="E162" s="10" t="n">
        <v>2000</v>
      </c>
      <c r="F162" s="10" t="n">
        <v>99460352</v>
      </c>
      <c r="G162" s="7"/>
      <c r="H162" s="7" t="s">
        <v>30</v>
      </c>
      <c r="I162" s="7"/>
      <c r="J162" s="7" t="s">
        <v>30</v>
      </c>
      <c r="K162" s="11" t="n">
        <f aca="false">IFERROR(E162/F162,"")</f>
        <v>2.01085152001071E-005</v>
      </c>
      <c r="L162" s="15"/>
      <c r="M162" s="12"/>
      <c r="N162" s="13"/>
      <c r="O162" s="13"/>
      <c r="P162" s="13"/>
      <c r="Q162" s="11" t="str">
        <f aca="false">IF(M162="","",IFERROR(E162/M162,""))</f>
        <v/>
      </c>
      <c r="R162" s="14" t="str">
        <f aca="false">IF(M162="","",IFERROR(F162/M162,""))</f>
        <v/>
      </c>
      <c r="S162" s="13"/>
    </row>
    <row r="163" customFormat="false" ht="15" hidden="false" customHeight="false" outlineLevel="0" collapsed="false">
      <c r="A163" s="7" t="s">
        <v>300</v>
      </c>
      <c r="B163" s="7" t="s">
        <v>238</v>
      </c>
      <c r="C163" s="7" t="n">
        <v>1</v>
      </c>
      <c r="D163" s="10" t="n">
        <v>600000</v>
      </c>
      <c r="E163" s="10" t="n">
        <v>600000</v>
      </c>
      <c r="F163" s="10" t="n">
        <v>95789805</v>
      </c>
      <c r="G163" s="7" t="s">
        <v>301</v>
      </c>
      <c r="H163" s="7" t="s">
        <v>133</v>
      </c>
      <c r="I163" s="7" t="s">
        <v>302</v>
      </c>
      <c r="J163" s="7" t="s">
        <v>54</v>
      </c>
      <c r="K163" s="11" t="n">
        <f aca="false">IFERROR(E163/F163,"")</f>
        <v>0.00626371459885527</v>
      </c>
      <c r="L163" s="15"/>
      <c r="M163" s="12"/>
      <c r="N163" s="13"/>
      <c r="O163" s="13"/>
      <c r="P163" s="13"/>
      <c r="Q163" s="11" t="str">
        <f aca="false">IF(M163="","",IFERROR(E163/M163,""))</f>
        <v/>
      </c>
      <c r="R163" s="14" t="str">
        <f aca="false">IF(M163="","",IFERROR(F163/M163,""))</f>
        <v/>
      </c>
      <c r="S163" s="13"/>
    </row>
    <row r="164" customFormat="false" ht="15" hidden="false" customHeight="false" outlineLevel="0" collapsed="false">
      <c r="A164" s="7" t="s">
        <v>303</v>
      </c>
      <c r="B164" s="7" t="s">
        <v>49</v>
      </c>
      <c r="C164" s="7" t="n">
        <v>1</v>
      </c>
      <c r="D164" s="10" t="n">
        <v>3000</v>
      </c>
      <c r="E164" s="10" t="n">
        <v>3000</v>
      </c>
      <c r="F164" s="10" t="n">
        <v>82125969</v>
      </c>
      <c r="G164" s="7"/>
      <c r="H164" s="7" t="s">
        <v>30</v>
      </c>
      <c r="I164" s="7"/>
      <c r="J164" s="7" t="s">
        <v>30</v>
      </c>
      <c r="K164" s="11" t="n">
        <f aca="false">IFERROR(E164/F164,"")</f>
        <v>3.65292493535145E-005</v>
      </c>
      <c r="L164" s="15"/>
      <c r="M164" s="12"/>
      <c r="N164" s="13"/>
      <c r="O164" s="13"/>
      <c r="P164" s="13"/>
      <c r="Q164" s="11" t="str">
        <f aca="false">IF(M164="","",IFERROR(E164/M164,""))</f>
        <v/>
      </c>
      <c r="R164" s="14" t="str">
        <f aca="false">IF(M164="","",IFERROR(F164/M164,""))</f>
        <v/>
      </c>
      <c r="S164" s="13"/>
    </row>
    <row r="165" customFormat="false" ht="15" hidden="false" customHeight="false" outlineLevel="0" collapsed="false">
      <c r="A165" s="7" t="s">
        <v>304</v>
      </c>
      <c r="B165" s="7" t="s">
        <v>49</v>
      </c>
      <c r="C165" s="7" t="n">
        <v>1</v>
      </c>
      <c r="D165" s="10" t="n">
        <v>2000</v>
      </c>
      <c r="E165" s="10" t="n">
        <v>2000</v>
      </c>
      <c r="F165" s="10" t="n">
        <v>76413064</v>
      </c>
      <c r="G165" s="7"/>
      <c r="H165" s="7" t="s">
        <v>30</v>
      </c>
      <c r="I165" s="7"/>
      <c r="J165" s="7" t="s">
        <v>30</v>
      </c>
      <c r="K165" s="11" t="n">
        <f aca="false">IFERROR(E165/F165,"")</f>
        <v>2.61735349337647E-005</v>
      </c>
      <c r="L165" s="15"/>
      <c r="M165" s="12"/>
      <c r="N165" s="13"/>
      <c r="O165" s="13"/>
      <c r="P165" s="13"/>
      <c r="Q165" s="11" t="str">
        <f aca="false">IF(M165="","",IFERROR(E165/M165,""))</f>
        <v/>
      </c>
      <c r="R165" s="14" t="str">
        <f aca="false">IF(M165="","",IFERROR(F165/M165,""))</f>
        <v/>
      </c>
      <c r="S165" s="13"/>
    </row>
    <row r="166" customFormat="false" ht="15" hidden="false" customHeight="false" outlineLevel="0" collapsed="false">
      <c r="A166" s="7" t="s">
        <v>305</v>
      </c>
      <c r="B166" s="7" t="s">
        <v>108</v>
      </c>
      <c r="C166" s="7" t="n">
        <v>1</v>
      </c>
      <c r="D166" s="10" t="n">
        <v>950000</v>
      </c>
      <c r="E166" s="10" t="n">
        <v>950000</v>
      </c>
      <c r="F166" s="10" t="n">
        <v>66290000</v>
      </c>
      <c r="G166" s="7"/>
      <c r="H166" s="7" t="s">
        <v>30</v>
      </c>
      <c r="I166" s="7"/>
      <c r="J166" s="7" t="s">
        <v>30</v>
      </c>
      <c r="K166" s="11" t="n">
        <f aca="false">IFERROR(E166/F166,"")</f>
        <v>0.0143309699803892</v>
      </c>
      <c r="L166" s="15"/>
      <c r="M166" s="12"/>
      <c r="N166" s="13"/>
      <c r="O166" s="13"/>
      <c r="P166" s="13"/>
      <c r="Q166" s="11" t="str">
        <f aca="false">IF(M166="","",IFERROR(E166/M166,""))</f>
        <v/>
      </c>
      <c r="R166" s="14" t="str">
        <f aca="false">IF(M166="","",IFERROR(F166/M166,""))</f>
        <v/>
      </c>
      <c r="S166" s="13"/>
    </row>
    <row r="167" customFormat="false" ht="15" hidden="false" customHeight="false" outlineLevel="0" collapsed="false">
      <c r="A167" s="7" t="s">
        <v>306</v>
      </c>
      <c r="B167" s="7" t="s">
        <v>113</v>
      </c>
      <c r="C167" s="7" t="n">
        <v>1</v>
      </c>
      <c r="D167" s="10" t="n">
        <v>147800</v>
      </c>
      <c r="E167" s="10" t="n">
        <v>147800</v>
      </c>
      <c r="F167" s="10" t="n">
        <v>50668800</v>
      </c>
      <c r="G167" s="7"/>
      <c r="H167" s="7" t="s">
        <v>30</v>
      </c>
      <c r="I167" s="7"/>
      <c r="J167" s="7" t="s">
        <v>30</v>
      </c>
      <c r="K167" s="11" t="n">
        <f aca="false">IFERROR(E167/F167,"")</f>
        <v>0.00291698244284451</v>
      </c>
      <c r="L167" s="15"/>
      <c r="M167" s="12"/>
      <c r="N167" s="13"/>
      <c r="O167" s="13"/>
      <c r="P167" s="13"/>
      <c r="Q167" s="11" t="str">
        <f aca="false">IF(M167="","",IFERROR(E167/M167,""))</f>
        <v/>
      </c>
      <c r="R167" s="14" t="str">
        <f aca="false">IF(M167="","",IFERROR(F167/M167,""))</f>
        <v/>
      </c>
      <c r="S167" s="13"/>
    </row>
    <row r="168" customFormat="false" ht="15" hidden="false" customHeight="false" outlineLevel="0" collapsed="false">
      <c r="A168" s="7" t="s">
        <v>307</v>
      </c>
      <c r="B168" s="7" t="s">
        <v>29</v>
      </c>
      <c r="C168" s="7" t="n">
        <v>1</v>
      </c>
      <c r="D168" s="10" t="n">
        <v>600000</v>
      </c>
      <c r="E168" s="10" t="n">
        <v>600000</v>
      </c>
      <c r="F168" s="10" t="n">
        <v>50000000</v>
      </c>
      <c r="G168" s="7"/>
      <c r="H168" s="7" t="s">
        <v>30</v>
      </c>
      <c r="I168" s="7"/>
      <c r="J168" s="7" t="s">
        <v>30</v>
      </c>
      <c r="K168" s="11" t="n">
        <f aca="false">IFERROR(E168/F168,"")</f>
        <v>0.012</v>
      </c>
      <c r="L168" s="15"/>
      <c r="M168" s="12"/>
      <c r="N168" s="13"/>
      <c r="O168" s="13"/>
      <c r="P168" s="13"/>
      <c r="Q168" s="11" t="str">
        <f aca="false">IF(M168="","",IFERROR(E168/M168,""))</f>
        <v/>
      </c>
      <c r="R168" s="14" t="str">
        <f aca="false">IF(M168="","",IFERROR(F168/M168,""))</f>
        <v/>
      </c>
      <c r="S168" s="13"/>
    </row>
    <row r="169" customFormat="false" ht="15" hidden="false" customHeight="false" outlineLevel="0" collapsed="false">
      <c r="A169" s="7" t="s">
        <v>308</v>
      </c>
      <c r="B169" s="7" t="s">
        <v>29</v>
      </c>
      <c r="C169" s="7" t="n">
        <v>1</v>
      </c>
      <c r="D169" s="10" t="n">
        <v>60000</v>
      </c>
      <c r="E169" s="10" t="n">
        <v>60000</v>
      </c>
      <c r="F169" s="10" t="n">
        <v>48675200</v>
      </c>
      <c r="G169" s="7"/>
      <c r="H169" s="7" t="s">
        <v>30</v>
      </c>
      <c r="I169" s="7"/>
      <c r="J169" s="7" t="s">
        <v>30</v>
      </c>
      <c r="K169" s="11" t="n">
        <f aca="false">IFERROR(E169/F169,"")</f>
        <v>0.00123266057458418</v>
      </c>
      <c r="L169" s="15"/>
      <c r="M169" s="12"/>
      <c r="N169" s="13"/>
      <c r="O169" s="13"/>
      <c r="P169" s="13"/>
      <c r="Q169" s="11" t="str">
        <f aca="false">IF(M169="","",IFERROR(E169/M169,""))</f>
        <v/>
      </c>
      <c r="R169" s="14" t="str">
        <f aca="false">IF(M169="","",IFERROR(F169/M169,""))</f>
        <v/>
      </c>
      <c r="S169" s="13"/>
    </row>
    <row r="170" customFormat="false" ht="15" hidden="false" customHeight="false" outlineLevel="0" collapsed="false">
      <c r="A170" s="7" t="s">
        <v>309</v>
      </c>
      <c r="B170" s="7" t="s">
        <v>57</v>
      </c>
      <c r="C170" s="7" t="n">
        <v>1</v>
      </c>
      <c r="D170" s="10" t="n">
        <v>10000</v>
      </c>
      <c r="E170" s="10" t="n">
        <v>10000</v>
      </c>
      <c r="F170" s="10" t="n">
        <v>47600000</v>
      </c>
      <c r="G170" s="7"/>
      <c r="H170" s="7" t="s">
        <v>30</v>
      </c>
      <c r="I170" s="7"/>
      <c r="J170" s="7" t="s">
        <v>30</v>
      </c>
      <c r="K170" s="11" t="n">
        <f aca="false">IFERROR(E170/F170,"")</f>
        <v>0.000210084033613445</v>
      </c>
      <c r="L170" s="15"/>
      <c r="M170" s="12"/>
      <c r="N170" s="13"/>
      <c r="O170" s="13"/>
      <c r="P170" s="13"/>
      <c r="Q170" s="11" t="str">
        <f aca="false">IF(M170="","",IFERROR(E170/M170,""))</f>
        <v/>
      </c>
      <c r="R170" s="14" t="str">
        <f aca="false">IF(M170="","",IFERROR(F170/M170,""))</f>
        <v/>
      </c>
      <c r="S170" s="13"/>
    </row>
    <row r="171" customFormat="false" ht="15" hidden="false" customHeight="false" outlineLevel="0" collapsed="false">
      <c r="A171" s="7" t="s">
        <v>310</v>
      </c>
      <c r="B171" s="7" t="s">
        <v>49</v>
      </c>
      <c r="C171" s="7" t="n">
        <v>1</v>
      </c>
      <c r="D171" s="10" t="n">
        <v>15000</v>
      </c>
      <c r="E171" s="10" t="n">
        <v>15000</v>
      </c>
      <c r="F171" s="10" t="n">
        <v>44295276</v>
      </c>
      <c r="G171" s="7"/>
      <c r="H171" s="7" t="s">
        <v>30</v>
      </c>
      <c r="I171" s="7"/>
      <c r="J171" s="7" t="s">
        <v>30</v>
      </c>
      <c r="K171" s="11" t="n">
        <f aca="false">IFERROR(E171/F171,"")</f>
        <v>0.000338636562508381</v>
      </c>
      <c r="L171" s="15"/>
      <c r="M171" s="12"/>
      <c r="N171" s="13"/>
      <c r="O171" s="13"/>
      <c r="P171" s="13"/>
      <c r="Q171" s="11" t="str">
        <f aca="false">IF(M171="","",IFERROR(E171/M171,""))</f>
        <v/>
      </c>
      <c r="R171" s="14" t="str">
        <f aca="false">IF(M171="","",IFERROR(F171/M171,""))</f>
        <v/>
      </c>
      <c r="S171" s="13"/>
    </row>
    <row r="172" customFormat="false" ht="15" hidden="false" customHeight="false" outlineLevel="0" collapsed="false">
      <c r="A172" s="7" t="s">
        <v>311</v>
      </c>
      <c r="B172" s="7" t="s">
        <v>185</v>
      </c>
      <c r="C172" s="7" t="n">
        <v>1</v>
      </c>
      <c r="D172" s="10" t="n">
        <v>500000</v>
      </c>
      <c r="E172" s="10" t="n">
        <v>500000</v>
      </c>
      <c r="F172" s="10" t="n">
        <v>32210000</v>
      </c>
      <c r="G172" s="7"/>
      <c r="H172" s="7" t="s">
        <v>30</v>
      </c>
      <c r="I172" s="7"/>
      <c r="J172" s="7" t="s">
        <v>30</v>
      </c>
      <c r="K172" s="11" t="n">
        <f aca="false">IFERROR(E172/F172,"")</f>
        <v>0.0155231294628997</v>
      </c>
      <c r="L172" s="15"/>
      <c r="M172" s="12"/>
      <c r="N172" s="13"/>
      <c r="O172" s="13"/>
      <c r="P172" s="13"/>
      <c r="Q172" s="11" t="str">
        <f aca="false">IF(M172="","",IFERROR(E172/M172,""))</f>
        <v/>
      </c>
      <c r="R172" s="14" t="str">
        <f aca="false">IF(M172="","",IFERROR(F172/M172,""))</f>
        <v/>
      </c>
      <c r="S172" s="13"/>
    </row>
    <row r="173" customFormat="false" ht="15" hidden="false" customHeight="false" outlineLevel="0" collapsed="false">
      <c r="A173" s="7" t="s">
        <v>312</v>
      </c>
      <c r="B173" s="7" t="s">
        <v>178</v>
      </c>
      <c r="C173" s="7" t="n">
        <v>1</v>
      </c>
      <c r="D173" s="10" t="n">
        <v>500000</v>
      </c>
      <c r="E173" s="10" t="n">
        <v>500000</v>
      </c>
      <c r="F173" s="10" t="n">
        <v>27600000</v>
      </c>
      <c r="G173" s="7" t="s">
        <v>313</v>
      </c>
      <c r="H173" s="7" t="s">
        <v>133</v>
      </c>
      <c r="I173" s="7" t="s">
        <v>314</v>
      </c>
      <c r="J173" s="7" t="s">
        <v>54</v>
      </c>
      <c r="K173" s="11" t="n">
        <f aca="false">IFERROR(E173/F173,"")</f>
        <v>0.0181159420289855</v>
      </c>
      <c r="L173" s="15"/>
      <c r="M173" s="12"/>
      <c r="N173" s="13"/>
      <c r="O173" s="13"/>
      <c r="P173" s="13"/>
      <c r="Q173" s="11" t="str">
        <f aca="false">IF(M173="","",IFERROR(E173/M173,""))</f>
        <v/>
      </c>
      <c r="R173" s="14" t="str">
        <f aca="false">IF(M173="","",IFERROR(F173/M173,""))</f>
        <v/>
      </c>
      <c r="S173" s="13"/>
    </row>
    <row r="174" customFormat="false" ht="15" hidden="false" customHeight="false" outlineLevel="0" collapsed="false">
      <c r="A174" s="7" t="s">
        <v>315</v>
      </c>
      <c r="B174" s="7" t="s">
        <v>178</v>
      </c>
      <c r="C174" s="7" t="n">
        <v>1</v>
      </c>
      <c r="D174" s="10" t="n">
        <v>500000</v>
      </c>
      <c r="E174" s="10" t="n">
        <v>500000</v>
      </c>
      <c r="F174" s="10" t="n">
        <v>26065200</v>
      </c>
      <c r="G174" s="7"/>
      <c r="H174" s="7" t="s">
        <v>30</v>
      </c>
      <c r="I174" s="7"/>
      <c r="J174" s="7" t="s">
        <v>30</v>
      </c>
      <c r="K174" s="11" t="n">
        <f aca="false">IFERROR(E174/F174,"")</f>
        <v>0.0191826650092844</v>
      </c>
      <c r="L174" s="15"/>
      <c r="M174" s="12"/>
      <c r="N174" s="13"/>
      <c r="O174" s="13"/>
      <c r="P174" s="13"/>
      <c r="Q174" s="11" t="str">
        <f aca="false">IF(M174="","",IFERROR(E174/M174,""))</f>
        <v/>
      </c>
      <c r="R174" s="14" t="str">
        <f aca="false">IF(M174="","",IFERROR(F174/M174,""))</f>
        <v/>
      </c>
      <c r="S174" s="13"/>
    </row>
    <row r="175" customFormat="false" ht="15" hidden="false" customHeight="false" outlineLevel="0" collapsed="false">
      <c r="A175" s="7" t="s">
        <v>316</v>
      </c>
      <c r="B175" s="7" t="s">
        <v>178</v>
      </c>
      <c r="C175" s="7" t="n">
        <v>1</v>
      </c>
      <c r="D175" s="10" t="n">
        <v>400000</v>
      </c>
      <c r="E175" s="10" t="n">
        <v>400000</v>
      </c>
      <c r="F175" s="10" t="n">
        <v>24165400</v>
      </c>
      <c r="G175" s="7"/>
      <c r="H175" s="7" t="s">
        <v>30</v>
      </c>
      <c r="I175" s="7"/>
      <c r="J175" s="7" t="s">
        <v>30</v>
      </c>
      <c r="K175" s="11" t="n">
        <f aca="false">IFERROR(E175/F175,"")</f>
        <v>0.0165525917220489</v>
      </c>
      <c r="L175" s="15"/>
      <c r="M175" s="12"/>
      <c r="N175" s="13"/>
      <c r="O175" s="13"/>
      <c r="P175" s="13"/>
      <c r="Q175" s="11" t="str">
        <f aca="false">IF(M175="","",IFERROR(E175/M175,""))</f>
        <v/>
      </c>
      <c r="R175" s="14" t="str">
        <f aca="false">IF(M175="","",IFERROR(F175/M175,""))</f>
        <v/>
      </c>
      <c r="S175" s="13"/>
    </row>
    <row r="176" customFormat="false" ht="15" hidden="false" customHeight="false" outlineLevel="0" collapsed="false">
      <c r="A176" s="7" t="s">
        <v>317</v>
      </c>
      <c r="B176" s="7" t="s">
        <v>108</v>
      </c>
      <c r="C176" s="7" t="n">
        <v>1</v>
      </c>
      <c r="D176" s="10" t="n">
        <v>75000</v>
      </c>
      <c r="E176" s="10" t="n">
        <v>75000</v>
      </c>
      <c r="F176" s="10" t="n">
        <v>14043000</v>
      </c>
      <c r="G176" s="7" t="s">
        <v>132</v>
      </c>
      <c r="H176" s="7" t="s">
        <v>133</v>
      </c>
      <c r="I176" s="7" t="s">
        <v>142</v>
      </c>
      <c r="J176" s="7" t="s">
        <v>36</v>
      </c>
      <c r="K176" s="11" t="n">
        <f aca="false">IFERROR(E176/F176,"")</f>
        <v>0.00534073915829951</v>
      </c>
      <c r="L176" s="15"/>
      <c r="M176" s="12"/>
      <c r="N176" s="13"/>
      <c r="O176" s="13"/>
      <c r="P176" s="13"/>
      <c r="Q176" s="11" t="str">
        <f aca="false">IF(M176="","",IFERROR(E176/M176,""))</f>
        <v/>
      </c>
      <c r="R176" s="14" t="str">
        <f aca="false">IF(M176="","",IFERROR(F176/M176,""))</f>
        <v/>
      </c>
      <c r="S176" s="13"/>
    </row>
    <row r="177" customFormat="false" ht="15" hidden="false" customHeight="false" outlineLevel="0" collapsed="false">
      <c r="A177" s="7" t="s">
        <v>318</v>
      </c>
      <c r="B177" s="7" t="s">
        <v>204</v>
      </c>
      <c r="C177" s="7" t="n">
        <v>1</v>
      </c>
      <c r="D177" s="10" t="n">
        <v>20000</v>
      </c>
      <c r="E177" s="10" t="n">
        <v>20000</v>
      </c>
      <c r="F177" s="10" t="n">
        <v>12554587</v>
      </c>
      <c r="G177" s="7" t="s">
        <v>132</v>
      </c>
      <c r="H177" s="7" t="s">
        <v>133</v>
      </c>
      <c r="I177" s="7" t="s">
        <v>319</v>
      </c>
      <c r="J177" s="7" t="s">
        <v>165</v>
      </c>
      <c r="K177" s="11" t="n">
        <f aca="false">IFERROR(E177/F177,"")</f>
        <v>0.00159304324387572</v>
      </c>
      <c r="L177" s="15"/>
      <c r="M177" s="12"/>
      <c r="N177" s="13"/>
      <c r="O177" s="13"/>
      <c r="P177" s="13"/>
      <c r="Q177" s="11" t="str">
        <f aca="false">IF(M177="","",IFERROR(E177/M177,""))</f>
        <v/>
      </c>
      <c r="R177" s="14" t="str">
        <f aca="false">IF(M177="","",IFERROR(F177/M177,""))</f>
        <v/>
      </c>
      <c r="S177" s="13"/>
    </row>
    <row r="178" customFormat="false" ht="15" hidden="false" customHeight="false" outlineLevel="0" collapsed="false">
      <c r="A178" s="7" t="s">
        <v>320</v>
      </c>
      <c r="B178" s="7" t="s">
        <v>238</v>
      </c>
      <c r="C178" s="7" t="n">
        <v>1</v>
      </c>
      <c r="D178" s="10" t="n">
        <v>174640</v>
      </c>
      <c r="E178" s="10" t="n">
        <v>174640</v>
      </c>
      <c r="F178" s="10" t="n">
        <v>11191832</v>
      </c>
      <c r="G178" s="7" t="s">
        <v>291</v>
      </c>
      <c r="H178" s="7" t="s">
        <v>133</v>
      </c>
      <c r="I178" s="7" t="s">
        <v>321</v>
      </c>
      <c r="J178" s="7" t="s">
        <v>36</v>
      </c>
      <c r="K178" s="11" t="n">
        <f aca="false">IFERROR(E178/F178,"")</f>
        <v>0.0156042370900492</v>
      </c>
      <c r="L178" s="15"/>
      <c r="M178" s="12"/>
      <c r="N178" s="13"/>
      <c r="O178" s="13"/>
      <c r="P178" s="13"/>
      <c r="Q178" s="11" t="str">
        <f aca="false">IF(M178="","",IFERROR(E178/M178,""))</f>
        <v/>
      </c>
      <c r="R178" s="14" t="str">
        <f aca="false">IF(M178="","",IFERROR(F178/M178,""))</f>
        <v/>
      </c>
      <c r="S178" s="13"/>
    </row>
    <row r="179" customFormat="false" ht="15" hidden="false" customHeight="false" outlineLevel="0" collapsed="false">
      <c r="A179" s="7" t="s">
        <v>322</v>
      </c>
      <c r="B179" s="7" t="s">
        <v>178</v>
      </c>
      <c r="C179" s="7" t="n">
        <v>1</v>
      </c>
      <c r="D179" s="10" t="n">
        <v>180000</v>
      </c>
      <c r="E179" s="10" t="n">
        <v>180000</v>
      </c>
      <c r="F179" s="10" t="n">
        <v>10397600</v>
      </c>
      <c r="G179" s="7"/>
      <c r="H179" s="7" t="s">
        <v>30</v>
      </c>
      <c r="I179" s="7"/>
      <c r="J179" s="7" t="s">
        <v>30</v>
      </c>
      <c r="K179" s="11" t="n">
        <f aca="false">IFERROR(E179/F179,"")</f>
        <v>0.0173116873124567</v>
      </c>
      <c r="L179" s="15"/>
      <c r="M179" s="12"/>
      <c r="N179" s="13"/>
      <c r="O179" s="13"/>
      <c r="P179" s="13"/>
      <c r="Q179" s="11" t="str">
        <f aca="false">IF(M179="","",IFERROR(E179/M179,""))</f>
        <v/>
      </c>
      <c r="R179" s="14" t="str">
        <f aca="false">IF(M179="","",IFERROR(F179/M179,""))</f>
        <v/>
      </c>
      <c r="S179" s="13"/>
    </row>
    <row r="180" customFormat="false" ht="15" hidden="false" customHeight="false" outlineLevel="0" collapsed="false">
      <c r="A180" s="7" t="s">
        <v>323</v>
      </c>
      <c r="B180" s="7" t="s">
        <v>113</v>
      </c>
      <c r="C180" s="7" t="n">
        <v>1</v>
      </c>
      <c r="D180" s="10" t="n">
        <v>160000</v>
      </c>
      <c r="E180" s="10" t="n">
        <v>160000</v>
      </c>
      <c r="F180" s="10" t="n">
        <v>10080000</v>
      </c>
      <c r="G180" s="7"/>
      <c r="H180" s="7" t="s">
        <v>30</v>
      </c>
      <c r="I180" s="7"/>
      <c r="J180" s="7" t="s">
        <v>30</v>
      </c>
      <c r="K180" s="11" t="n">
        <f aca="false">IFERROR(E180/F180,"")</f>
        <v>0.0158730158730159</v>
      </c>
      <c r="L180" s="15"/>
      <c r="M180" s="12"/>
      <c r="N180" s="13"/>
      <c r="O180" s="13"/>
      <c r="P180" s="13"/>
      <c r="Q180" s="11" t="str">
        <f aca="false">IF(M180="","",IFERROR(E180/M180,""))</f>
        <v/>
      </c>
      <c r="R180" s="14" t="str">
        <f aca="false">IF(M180="","",IFERROR(F180/M180,""))</f>
        <v/>
      </c>
      <c r="S180" s="13"/>
    </row>
    <row r="181" customFormat="false" ht="15" hidden="false" customHeight="false" outlineLevel="0" collapsed="false">
      <c r="A181" s="7" t="s">
        <v>324</v>
      </c>
      <c r="B181" s="7" t="s">
        <v>49</v>
      </c>
      <c r="C181" s="7" t="n">
        <v>1</v>
      </c>
      <c r="D181" s="10" t="n">
        <v>1000</v>
      </c>
      <c r="E181" s="10" t="n">
        <v>1000</v>
      </c>
      <c r="F181" s="10" t="n">
        <v>9946600</v>
      </c>
      <c r="G181" s="7"/>
      <c r="H181" s="7" t="s">
        <v>30</v>
      </c>
      <c r="I181" s="7"/>
      <c r="J181" s="7" t="s">
        <v>30</v>
      </c>
      <c r="K181" s="11" t="n">
        <f aca="false">IFERROR(E181/F181,"")</f>
        <v>0.000100536866869081</v>
      </c>
      <c r="L181" s="15"/>
      <c r="M181" s="12"/>
      <c r="N181" s="13"/>
      <c r="O181" s="13"/>
      <c r="P181" s="13"/>
      <c r="Q181" s="11" t="str">
        <f aca="false">IF(M181="","",IFERROR(E181/M181,""))</f>
        <v/>
      </c>
      <c r="R181" s="14" t="str">
        <f aca="false">IF(M181="","",IFERROR(F181/M181,""))</f>
        <v/>
      </c>
      <c r="S181" s="13"/>
    </row>
    <row r="182" customFormat="false" ht="15" hidden="false" customHeight="false" outlineLevel="0" collapsed="false">
      <c r="A182" s="7" t="s">
        <v>325</v>
      </c>
      <c r="B182" s="7" t="s">
        <v>57</v>
      </c>
      <c r="C182" s="7" t="n">
        <v>1</v>
      </c>
      <c r="D182" s="10" t="n">
        <v>20000</v>
      </c>
      <c r="E182" s="10" t="n">
        <v>20000</v>
      </c>
      <c r="F182" s="10" t="n">
        <v>9844800</v>
      </c>
      <c r="G182" s="7"/>
      <c r="H182" s="7" t="s">
        <v>30</v>
      </c>
      <c r="I182" s="7"/>
      <c r="J182" s="7" t="s">
        <v>30</v>
      </c>
      <c r="K182" s="11" t="n">
        <f aca="false">IFERROR(E182/F182,"")</f>
        <v>0.0020315293352836</v>
      </c>
      <c r="L182" s="15"/>
      <c r="M182" s="12"/>
      <c r="N182" s="13"/>
      <c r="O182" s="13"/>
      <c r="P182" s="13"/>
      <c r="Q182" s="11" t="str">
        <f aca="false">IF(M182="","",IFERROR(E182/M182,""))</f>
        <v/>
      </c>
      <c r="R182" s="14" t="str">
        <f aca="false">IF(M182="","",IFERROR(F182/M182,""))</f>
        <v/>
      </c>
      <c r="S182" s="13"/>
    </row>
    <row r="183" customFormat="false" ht="15" hidden="false" customHeight="false" outlineLevel="0" collapsed="false">
      <c r="A183" s="7" t="s">
        <v>326</v>
      </c>
      <c r="B183" s="7" t="s">
        <v>327</v>
      </c>
      <c r="C183" s="7" t="n">
        <v>1</v>
      </c>
      <c r="D183" s="10" t="n">
        <v>1165</v>
      </c>
      <c r="E183" s="10" t="n">
        <v>1165</v>
      </c>
      <c r="F183" s="10" t="n">
        <v>8208200</v>
      </c>
      <c r="G183" s="7"/>
      <c r="H183" s="7" t="s">
        <v>30</v>
      </c>
      <c r="I183" s="7"/>
      <c r="J183" s="7" t="s">
        <v>30</v>
      </c>
      <c r="K183" s="11" t="n">
        <f aca="false">IFERROR(E183/F183,"")</f>
        <v>0.000141931239492215</v>
      </c>
      <c r="L183" s="15"/>
      <c r="M183" s="12"/>
      <c r="N183" s="13"/>
      <c r="O183" s="13"/>
      <c r="P183" s="13"/>
      <c r="Q183" s="11" t="str">
        <f aca="false">IF(M183="","",IFERROR(E183/M183,""))</f>
        <v/>
      </c>
      <c r="R183" s="14" t="str">
        <f aca="false">IF(M183="","",IFERROR(F183/M183,""))</f>
        <v/>
      </c>
      <c r="S183" s="13"/>
    </row>
    <row r="184" customFormat="false" ht="15" hidden="false" customHeight="false" outlineLevel="0" collapsed="false">
      <c r="A184" s="7" t="s">
        <v>328</v>
      </c>
      <c r="B184" s="7" t="s">
        <v>57</v>
      </c>
      <c r="C184" s="7" t="n">
        <v>1</v>
      </c>
      <c r="D184" s="10" t="n">
        <v>40000</v>
      </c>
      <c r="E184" s="10" t="n">
        <v>40000</v>
      </c>
      <c r="F184" s="10" t="n">
        <v>4200000</v>
      </c>
      <c r="G184" s="7"/>
      <c r="H184" s="7" t="s">
        <v>30</v>
      </c>
      <c r="I184" s="7"/>
      <c r="J184" s="7" t="s">
        <v>30</v>
      </c>
      <c r="K184" s="11" t="n">
        <f aca="false">IFERROR(E184/F184,"")</f>
        <v>0.00952380952380953</v>
      </c>
      <c r="L184" s="15"/>
      <c r="M184" s="12"/>
      <c r="N184" s="13"/>
      <c r="O184" s="13"/>
      <c r="P184" s="13"/>
      <c r="Q184" s="11" t="str">
        <f aca="false">IF(M184="","",IFERROR(E184/M184,""))</f>
        <v/>
      </c>
      <c r="R184" s="14" t="str">
        <f aca="false">IF(M184="","",IFERROR(F184/M184,""))</f>
        <v/>
      </c>
      <c r="S184" s="13"/>
    </row>
    <row r="185" customFormat="false" ht="15" hidden="false" customHeight="false" outlineLevel="0" collapsed="false">
      <c r="A185" s="7" t="s">
        <v>329</v>
      </c>
      <c r="B185" s="7" t="s">
        <v>49</v>
      </c>
      <c r="C185" s="7" t="n">
        <v>1</v>
      </c>
      <c r="D185" s="10" t="n">
        <v>5000</v>
      </c>
      <c r="E185" s="10" t="n">
        <v>5000</v>
      </c>
      <c r="F185" s="10" t="n">
        <v>3756696</v>
      </c>
      <c r="G185" s="7"/>
      <c r="H185" s="7" t="s">
        <v>30</v>
      </c>
      <c r="I185" s="7"/>
      <c r="J185" s="7" t="s">
        <v>30</v>
      </c>
      <c r="K185" s="11" t="n">
        <f aca="false">IFERROR(E185/F185,"")</f>
        <v>0.00133095677691248</v>
      </c>
      <c r="L185" s="15"/>
      <c r="M185" s="12"/>
      <c r="N185" s="13"/>
      <c r="O185" s="13"/>
      <c r="P185" s="13"/>
      <c r="Q185" s="11" t="str">
        <f aca="false">IF(M185="","",IFERROR(E185/M185,""))</f>
        <v/>
      </c>
      <c r="R185" s="14" t="str">
        <f aca="false">IF(M185="","",IFERROR(F185/M185,""))</f>
        <v/>
      </c>
      <c r="S185" s="13"/>
    </row>
    <row r="186" customFormat="false" ht="15" hidden="false" customHeight="false" outlineLevel="0" collapsed="false">
      <c r="A186" s="7" t="s">
        <v>330</v>
      </c>
      <c r="B186" s="7" t="s">
        <v>204</v>
      </c>
      <c r="C186" s="7" t="n">
        <v>1</v>
      </c>
      <c r="D186" s="10" t="n">
        <v>20000</v>
      </c>
      <c r="E186" s="10" t="n">
        <v>20000</v>
      </c>
      <c r="F186" s="10" t="n">
        <v>3280000</v>
      </c>
      <c r="G186" s="7"/>
      <c r="H186" s="7" t="s">
        <v>30</v>
      </c>
      <c r="I186" s="7"/>
      <c r="J186" s="7" t="s">
        <v>30</v>
      </c>
      <c r="K186" s="11" t="n">
        <f aca="false">IFERROR(E186/F186,"")</f>
        <v>0.00609756097560976</v>
      </c>
      <c r="L186" s="15"/>
      <c r="M186" s="12"/>
      <c r="N186" s="13"/>
      <c r="O186" s="13"/>
      <c r="P186" s="13"/>
      <c r="Q186" s="11" t="str">
        <f aca="false">IF(M186="","",IFERROR(E186/M186,""))</f>
        <v/>
      </c>
      <c r="R186" s="14" t="str">
        <f aca="false">IF(M186="","",IFERROR(F186/M186,""))</f>
        <v/>
      </c>
      <c r="S186" s="13"/>
    </row>
    <row r="187" customFormat="false" ht="15" hidden="false" customHeight="false" outlineLevel="0" collapsed="false">
      <c r="A187" s="7" t="s">
        <v>331</v>
      </c>
      <c r="B187" s="7" t="s">
        <v>29</v>
      </c>
      <c r="C187" s="7" t="n">
        <v>1</v>
      </c>
      <c r="D187" s="10" t="n">
        <v>25000</v>
      </c>
      <c r="E187" s="10" t="n">
        <v>25000</v>
      </c>
      <c r="F187" s="10" t="n">
        <v>2500000</v>
      </c>
      <c r="G187" s="7" t="s">
        <v>132</v>
      </c>
      <c r="H187" s="7" t="s">
        <v>133</v>
      </c>
      <c r="I187" s="7" t="s">
        <v>332</v>
      </c>
      <c r="J187" s="7" t="s">
        <v>54</v>
      </c>
      <c r="K187" s="11" t="n">
        <f aca="false">IFERROR(E187/F187,"")</f>
        <v>0.01</v>
      </c>
      <c r="L187" s="15"/>
      <c r="M187" s="12"/>
      <c r="N187" s="13"/>
      <c r="O187" s="13"/>
      <c r="P187" s="13"/>
      <c r="Q187" s="11" t="str">
        <f aca="false">IF(M187="","",IFERROR(E187/M187,""))</f>
        <v/>
      </c>
      <c r="R187" s="14" t="str">
        <f aca="false">IF(M187="","",IFERROR(F187/M187,""))</f>
        <v/>
      </c>
      <c r="S187" s="13"/>
    </row>
    <row r="188" customFormat="false" ht="15" hidden="false" customHeight="false" outlineLevel="0" collapsed="false">
      <c r="A188" s="7" t="s">
        <v>333</v>
      </c>
      <c r="B188" s="7" t="s">
        <v>57</v>
      </c>
      <c r="C188" s="7" t="n">
        <v>1</v>
      </c>
      <c r="D188" s="10" t="n">
        <v>40000</v>
      </c>
      <c r="E188" s="10" t="n">
        <v>40000</v>
      </c>
      <c r="F188" s="10" t="n">
        <v>2100000</v>
      </c>
      <c r="G188" s="7" t="s">
        <v>132</v>
      </c>
      <c r="H188" s="7" t="s">
        <v>133</v>
      </c>
      <c r="I188" s="7" t="s">
        <v>334</v>
      </c>
      <c r="J188" s="7" t="s">
        <v>54</v>
      </c>
      <c r="K188" s="11" t="n">
        <f aca="false">IFERROR(E188/F188,"")</f>
        <v>0.0190476190476191</v>
      </c>
      <c r="L188" s="15"/>
      <c r="M188" s="12"/>
      <c r="N188" s="13"/>
      <c r="O188" s="13"/>
      <c r="P188" s="13"/>
      <c r="Q188" s="11" t="str">
        <f aca="false">IF(M188="","",IFERROR(E188/M188,""))</f>
        <v/>
      </c>
      <c r="R188" s="14" t="str">
        <f aca="false">IF(M188="","",IFERROR(F188/M188,""))</f>
        <v/>
      </c>
      <c r="S188" s="13"/>
    </row>
    <row r="189" customFormat="false" ht="15" hidden="false" customHeight="false" outlineLevel="0" collapsed="false">
      <c r="A189" s="7" t="s">
        <v>335</v>
      </c>
      <c r="B189" s="7" t="s">
        <v>178</v>
      </c>
      <c r="C189" s="7" t="n">
        <v>1</v>
      </c>
      <c r="D189" s="10" t="n">
        <v>20000</v>
      </c>
      <c r="E189" s="10" t="n">
        <v>20000</v>
      </c>
      <c r="F189" s="10" t="n">
        <v>1220000</v>
      </c>
      <c r="G189" s="7" t="s">
        <v>336</v>
      </c>
      <c r="H189" s="7" t="s">
        <v>133</v>
      </c>
      <c r="I189" s="7" t="s">
        <v>314</v>
      </c>
      <c r="J189" s="7" t="s">
        <v>54</v>
      </c>
      <c r="K189" s="11" t="n">
        <f aca="false">IFERROR(E189/F189,"")</f>
        <v>0.0163934426229508</v>
      </c>
      <c r="L189" s="15"/>
      <c r="M189" s="12"/>
      <c r="N189" s="13"/>
      <c r="O189" s="13"/>
      <c r="P189" s="13"/>
      <c r="Q189" s="11" t="str">
        <f aca="false">IF(M189="","",IFERROR(E189/M189,""))</f>
        <v/>
      </c>
      <c r="R189" s="14" t="str">
        <f aca="false">IF(M189="","",IFERROR(F189/M189,""))</f>
        <v/>
      </c>
      <c r="S189" s="13"/>
    </row>
    <row r="191" customFormat="false" ht="15" hidden="false" customHeight="false" outlineLevel="0" collapsed="false">
      <c r="A191" s="16" t="s">
        <v>337</v>
      </c>
    </row>
    <row r="192" customFormat="false" ht="15" hidden="false" customHeight="false" outlineLevel="0" collapsed="false">
      <c r="M192" s="17" t="n">
        <v>4166421000</v>
      </c>
      <c r="N192" s="18" t="s">
        <v>223</v>
      </c>
      <c r="O192" s="18" t="s">
        <v>338</v>
      </c>
      <c r="P192" s="18" t="s">
        <v>339</v>
      </c>
      <c r="S192" s="18" t="s">
        <v>340</v>
      </c>
    </row>
  </sheetData>
  <autoFilter ref="A4:S189"/>
  <dataValidations count="1">
    <dataValidation allowBlank="true" errorStyle="stop" operator="between" showDropDown="false" showErrorMessage="false" showInputMessage="false" sqref="P5:P189" type="list">
      <formula1>"OK,Wrong,Unclear,Not checked"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14"/>
    <col collapsed="false" customWidth="true" hidden="false" outlineLevel="0" max="4" min="4" style="0" width="7"/>
    <col collapsed="false" customWidth="true" hidden="false" outlineLevel="0" max="5" min="5" style="0" width="15"/>
    <col collapsed="false" customWidth="true" hidden="false" outlineLevel="0" max="6" min="6" style="0" width="18"/>
    <col collapsed="false" customWidth="true" hidden="false" outlineLevel="0" max="7" min="7" style="0" width="12"/>
    <col collapsed="false" customWidth="true" hidden="false" outlineLevel="0" max="8" min="8" style="0" width="26"/>
    <col collapsed="false" customWidth="true" hidden="false" outlineLevel="0" max="9" min="9" style="0" width="20"/>
    <col collapsed="false" customWidth="true" hidden="false" outlineLevel="0" max="10" min="10" style="0" width="7"/>
    <col collapsed="false" customWidth="true" hidden="false" outlineLevel="0" max="12" min="11" style="0" width="34"/>
    <col collapsed="false" customWidth="true" hidden="false" outlineLevel="0" max="13" min="13" style="0" width="11"/>
    <col collapsed="false" customWidth="true" hidden="false" outlineLevel="0" max="14" min="14" style="0" width="14"/>
    <col collapsed="false" customWidth="true" hidden="false" outlineLevel="0" max="15" min="15" style="0" width="26"/>
    <col collapsed="false" customWidth="true" hidden="false" outlineLevel="0" max="16" min="16" style="0" width="22"/>
    <col collapsed="false" customWidth="true" hidden="false" outlineLevel="0" max="17" min="17" style="0" width="11"/>
    <col collapsed="false" customWidth="true" hidden="false" outlineLevel="0" max="18" min="18" style="0" width="10"/>
    <col collapsed="false" customWidth="true" hidden="false" outlineLevel="0" max="19" min="19" style="0" width="34"/>
  </cols>
  <sheetData>
    <row r="1" customFormat="false" ht="30" hidden="false" customHeight="true" outlineLevel="0" collapsed="false">
      <c r="A1" s="6" t="s">
        <v>341</v>
      </c>
      <c r="B1" s="6" t="s">
        <v>21</v>
      </c>
      <c r="C1" s="6" t="s">
        <v>22</v>
      </c>
      <c r="D1" s="6" t="s">
        <v>342</v>
      </c>
      <c r="E1" s="6" t="s">
        <v>343</v>
      </c>
      <c r="F1" s="6" t="s">
        <v>344</v>
      </c>
      <c r="G1" s="6" t="s">
        <v>345</v>
      </c>
      <c r="H1" s="6" t="s">
        <v>346</v>
      </c>
      <c r="I1" s="6" t="s">
        <v>347</v>
      </c>
      <c r="J1" s="6" t="s">
        <v>348</v>
      </c>
      <c r="K1" s="6" t="s">
        <v>349</v>
      </c>
      <c r="L1" s="6" t="s">
        <v>350</v>
      </c>
      <c r="M1" s="6" t="s">
        <v>351</v>
      </c>
      <c r="N1" s="6" t="s">
        <v>121</v>
      </c>
      <c r="O1" s="6" t="s">
        <v>122</v>
      </c>
      <c r="P1" s="6" t="s">
        <v>352</v>
      </c>
      <c r="Q1" s="6" t="s">
        <v>25</v>
      </c>
      <c r="R1" s="6" t="s">
        <v>353</v>
      </c>
      <c r="S1" s="6" t="s">
        <v>354</v>
      </c>
    </row>
    <row r="2" customFormat="false" ht="15" hidden="false" customHeight="false" outlineLevel="0" collapsed="false">
      <c r="A2" s="19" t="s">
        <v>355</v>
      </c>
      <c r="B2" s="19" t="s">
        <v>102</v>
      </c>
      <c r="C2" s="19" t="s">
        <v>29</v>
      </c>
      <c r="D2" s="19" t="s">
        <v>291</v>
      </c>
      <c r="E2" s="20" t="n">
        <v>2000000</v>
      </c>
      <c r="F2" s="20" t="n">
        <v>2000000</v>
      </c>
      <c r="G2" s="21" t="n">
        <f aca="false">IFERROR(E2/F2,"")</f>
        <v>1</v>
      </c>
      <c r="H2" s="19" t="s">
        <v>356</v>
      </c>
      <c r="I2" s="19" t="s">
        <v>357</v>
      </c>
      <c r="J2" s="19" t="s">
        <v>358</v>
      </c>
      <c r="K2" s="19" t="s">
        <v>359</v>
      </c>
      <c r="L2" s="19" t="s">
        <v>360</v>
      </c>
      <c r="M2" s="19"/>
      <c r="N2" s="19" t="s">
        <v>30</v>
      </c>
      <c r="O2" s="19"/>
      <c r="P2" s="19" t="s">
        <v>361</v>
      </c>
      <c r="Q2" s="19" t="s">
        <v>30</v>
      </c>
      <c r="R2" s="19"/>
      <c r="S2" s="22" t="s">
        <v>362</v>
      </c>
    </row>
    <row r="3" customFormat="false" ht="15" hidden="false" customHeight="false" outlineLevel="0" collapsed="false">
      <c r="A3" s="7" t="s">
        <v>363</v>
      </c>
      <c r="B3" s="7" t="s">
        <v>107</v>
      </c>
      <c r="C3" s="7" t="s">
        <v>108</v>
      </c>
      <c r="D3" s="7" t="s">
        <v>291</v>
      </c>
      <c r="E3" s="8" t="n">
        <v>750000</v>
      </c>
      <c r="F3" s="8" t="n">
        <v>1214000</v>
      </c>
      <c r="G3" s="11" t="n">
        <f aca="false">IFERROR(E3/F3,"")</f>
        <v>0.617792421746293</v>
      </c>
      <c r="H3" s="7" t="s">
        <v>364</v>
      </c>
      <c r="I3" s="7" t="s">
        <v>365</v>
      </c>
      <c r="J3" s="7" t="s">
        <v>358</v>
      </c>
      <c r="K3" s="7" t="s">
        <v>366</v>
      </c>
      <c r="L3" s="7" t="s">
        <v>367</v>
      </c>
      <c r="M3" s="7" t="s">
        <v>140</v>
      </c>
      <c r="N3" s="7" t="s">
        <v>141</v>
      </c>
      <c r="O3" s="7" t="s">
        <v>142</v>
      </c>
      <c r="P3" s="7" t="s">
        <v>361</v>
      </c>
      <c r="Q3" s="7" t="s">
        <v>36</v>
      </c>
      <c r="R3" s="7"/>
      <c r="S3" s="23" t="s">
        <v>368</v>
      </c>
    </row>
    <row r="4" customFormat="false" ht="15" hidden="false" customHeight="false" outlineLevel="0" collapsed="false">
      <c r="A4" s="19" t="s">
        <v>369</v>
      </c>
      <c r="B4" s="19" t="s">
        <v>112</v>
      </c>
      <c r="C4" s="19" t="s">
        <v>113</v>
      </c>
      <c r="D4" s="19" t="s">
        <v>140</v>
      </c>
      <c r="E4" s="20" t="n">
        <v>13450</v>
      </c>
      <c r="F4" s="20" t="n">
        <v>53065.35</v>
      </c>
      <c r="G4" s="21" t="n">
        <f aca="false">IFERROR(E4/F4,"")</f>
        <v>0.25346106263315</v>
      </c>
      <c r="H4" s="19" t="s">
        <v>370</v>
      </c>
      <c r="I4" s="19" t="s">
        <v>371</v>
      </c>
      <c r="J4" s="19" t="s">
        <v>358</v>
      </c>
      <c r="K4" s="19" t="s">
        <v>372</v>
      </c>
      <c r="L4" s="19" t="s">
        <v>373</v>
      </c>
      <c r="M4" s="19"/>
      <c r="N4" s="19" t="s">
        <v>30</v>
      </c>
      <c r="O4" s="19"/>
      <c r="P4" s="19" t="s">
        <v>361</v>
      </c>
      <c r="Q4" s="19" t="s">
        <v>30</v>
      </c>
      <c r="R4" s="19"/>
      <c r="S4" s="22" t="s">
        <v>374</v>
      </c>
    </row>
    <row r="5" customFormat="false" ht="15" hidden="false" customHeight="false" outlineLevel="0" collapsed="false">
      <c r="A5" s="7" t="s">
        <v>375</v>
      </c>
      <c r="B5" s="7" t="s">
        <v>92</v>
      </c>
      <c r="C5" s="7" t="s">
        <v>57</v>
      </c>
      <c r="D5" s="7" t="s">
        <v>140</v>
      </c>
      <c r="E5" s="8" t="n">
        <v>2500000</v>
      </c>
      <c r="F5" s="8" t="n">
        <v>33700800</v>
      </c>
      <c r="G5" s="11" t="n">
        <f aca="false">IFERROR(E5/F5,"")</f>
        <v>0.074182215258985</v>
      </c>
      <c r="H5" s="7" t="s">
        <v>370</v>
      </c>
      <c r="I5" s="7" t="s">
        <v>376</v>
      </c>
      <c r="J5" s="7" t="s">
        <v>358</v>
      </c>
      <c r="K5" s="7" t="s">
        <v>372</v>
      </c>
      <c r="L5" s="7" t="s">
        <v>377</v>
      </c>
      <c r="M5" s="7"/>
      <c r="N5" s="7" t="s">
        <v>30</v>
      </c>
      <c r="O5" s="7"/>
      <c r="P5" s="7" t="s">
        <v>361</v>
      </c>
      <c r="Q5" s="7" t="s">
        <v>30</v>
      </c>
      <c r="R5" s="7"/>
      <c r="S5" s="23" t="s">
        <v>378</v>
      </c>
    </row>
    <row r="6" customFormat="false" ht="15" hidden="false" customHeight="false" outlineLevel="0" collapsed="false">
      <c r="A6" s="19" t="s">
        <v>379</v>
      </c>
      <c r="B6" s="19" t="s">
        <v>87</v>
      </c>
      <c r="C6" s="19" t="s">
        <v>88</v>
      </c>
      <c r="D6" s="19" t="s">
        <v>140</v>
      </c>
      <c r="E6" s="20" t="n">
        <v>6300000</v>
      </c>
      <c r="F6" s="20" t="n">
        <v>92000000</v>
      </c>
      <c r="G6" s="21" t="n">
        <f aca="false">IFERROR(E6/F6,"")</f>
        <v>0.0684782608695652</v>
      </c>
      <c r="H6" s="19" t="s">
        <v>380</v>
      </c>
      <c r="I6" s="19" t="s">
        <v>381</v>
      </c>
      <c r="J6" s="19" t="s">
        <v>358</v>
      </c>
      <c r="K6" s="19" t="s">
        <v>359</v>
      </c>
      <c r="L6" s="19" t="s">
        <v>382</v>
      </c>
      <c r="M6" s="19"/>
      <c r="N6" s="19" t="s">
        <v>30</v>
      </c>
      <c r="O6" s="19"/>
      <c r="P6" s="19" t="s">
        <v>361</v>
      </c>
      <c r="Q6" s="19" t="s">
        <v>30</v>
      </c>
      <c r="R6" s="19"/>
      <c r="S6" s="22" t="s">
        <v>383</v>
      </c>
    </row>
    <row r="7" customFormat="false" ht="15" hidden="false" customHeight="false" outlineLevel="0" collapsed="false">
      <c r="A7" s="7" t="s">
        <v>384</v>
      </c>
      <c r="B7" s="7" t="s">
        <v>64</v>
      </c>
      <c r="C7" s="7" t="s">
        <v>49</v>
      </c>
      <c r="D7" s="7" t="s">
        <v>291</v>
      </c>
      <c r="E7" s="8" t="n">
        <v>4000</v>
      </c>
      <c r="F7" s="8" t="n">
        <v>66000</v>
      </c>
      <c r="G7" s="11" t="n">
        <f aca="false">IFERROR(E7/F7,"")</f>
        <v>0.0606060606060606</v>
      </c>
      <c r="H7" s="7" t="s">
        <v>370</v>
      </c>
      <c r="I7" s="7" t="s">
        <v>385</v>
      </c>
      <c r="J7" s="7" t="s">
        <v>386</v>
      </c>
      <c r="K7" s="7" t="s">
        <v>387</v>
      </c>
      <c r="L7" s="7" t="s">
        <v>388</v>
      </c>
      <c r="M7" s="7" t="s">
        <v>137</v>
      </c>
      <c r="N7" s="7" t="s">
        <v>133</v>
      </c>
      <c r="O7" s="7" t="s">
        <v>138</v>
      </c>
      <c r="P7" s="7" t="s">
        <v>361</v>
      </c>
      <c r="Q7" s="7" t="s">
        <v>36</v>
      </c>
      <c r="R7" s="7"/>
      <c r="S7" s="23" t="s">
        <v>389</v>
      </c>
    </row>
    <row r="8" customFormat="false" ht="15" hidden="false" customHeight="false" outlineLevel="0" collapsed="false">
      <c r="A8" s="19" t="s">
        <v>390</v>
      </c>
      <c r="B8" s="19" t="s">
        <v>64</v>
      </c>
      <c r="C8" s="19" t="s">
        <v>49</v>
      </c>
      <c r="D8" s="19" t="s">
        <v>162</v>
      </c>
      <c r="E8" s="20" t="n">
        <v>3000</v>
      </c>
      <c r="F8" s="20" t="n">
        <v>66000</v>
      </c>
      <c r="G8" s="21" t="n">
        <f aca="false">IFERROR(E8/F8,"")</f>
        <v>0.0454545454545455</v>
      </c>
      <c r="H8" s="19" t="s">
        <v>370</v>
      </c>
      <c r="I8" s="19" t="s">
        <v>391</v>
      </c>
      <c r="J8" s="19" t="s">
        <v>386</v>
      </c>
      <c r="K8" s="19" t="s">
        <v>387</v>
      </c>
      <c r="L8" s="19" t="s">
        <v>388</v>
      </c>
      <c r="M8" s="19" t="s">
        <v>137</v>
      </c>
      <c r="N8" s="19" t="s">
        <v>133</v>
      </c>
      <c r="O8" s="19" t="s">
        <v>138</v>
      </c>
      <c r="P8" s="19" t="s">
        <v>361</v>
      </c>
      <c r="Q8" s="19" t="s">
        <v>36</v>
      </c>
      <c r="R8" s="19"/>
      <c r="S8" s="22" t="s">
        <v>392</v>
      </c>
    </row>
    <row r="9" customFormat="false" ht="15" hidden="false" customHeight="false" outlineLevel="0" collapsed="false">
      <c r="A9" s="7" t="s">
        <v>393</v>
      </c>
      <c r="B9" s="7" t="s">
        <v>90</v>
      </c>
      <c r="C9" s="7" t="s">
        <v>57</v>
      </c>
      <c r="D9" s="7" t="s">
        <v>140</v>
      </c>
      <c r="E9" s="8" t="n">
        <v>2600000</v>
      </c>
      <c r="F9" s="8" t="n">
        <v>68838000</v>
      </c>
      <c r="G9" s="11" t="n">
        <f aca="false">IFERROR(E9/F9,"")</f>
        <v>0.0377698364275546</v>
      </c>
      <c r="H9" s="7" t="s">
        <v>370</v>
      </c>
      <c r="I9" s="7" t="s">
        <v>376</v>
      </c>
      <c r="J9" s="7" t="s">
        <v>358</v>
      </c>
      <c r="K9" s="7" t="s">
        <v>372</v>
      </c>
      <c r="L9" s="7" t="s">
        <v>377</v>
      </c>
      <c r="M9" s="7"/>
      <c r="N9" s="7" t="s">
        <v>30</v>
      </c>
      <c r="O9" s="7"/>
      <c r="P9" s="7" t="s">
        <v>361</v>
      </c>
      <c r="Q9" s="7" t="s">
        <v>30</v>
      </c>
      <c r="R9" s="7"/>
      <c r="S9" s="23" t="s">
        <v>394</v>
      </c>
    </row>
    <row r="10" customFormat="false" ht="15" hidden="false" customHeight="false" outlineLevel="0" collapsed="false">
      <c r="A10" s="19" t="s">
        <v>395</v>
      </c>
      <c r="B10" s="19" t="s">
        <v>94</v>
      </c>
      <c r="C10" s="19" t="s">
        <v>67</v>
      </c>
      <c r="D10" s="19" t="s">
        <v>162</v>
      </c>
      <c r="E10" s="20" t="n">
        <v>830000</v>
      </c>
      <c r="F10" s="20" t="n">
        <v>24800000</v>
      </c>
      <c r="G10" s="21" t="n">
        <f aca="false">IFERROR(E10/F10,"")</f>
        <v>0.0334677419354839</v>
      </c>
      <c r="H10" s="19" t="s">
        <v>364</v>
      </c>
      <c r="I10" s="19" t="s">
        <v>365</v>
      </c>
      <c r="J10" s="19" t="s">
        <v>358</v>
      </c>
      <c r="K10" s="19" t="s">
        <v>366</v>
      </c>
      <c r="L10" s="19" t="s">
        <v>396</v>
      </c>
      <c r="M10" s="19" t="s">
        <v>132</v>
      </c>
      <c r="N10" s="19" t="s">
        <v>133</v>
      </c>
      <c r="O10" s="19" t="s">
        <v>139</v>
      </c>
      <c r="P10" s="19" t="s">
        <v>361</v>
      </c>
      <c r="Q10" s="19" t="s">
        <v>54</v>
      </c>
      <c r="R10" s="19"/>
      <c r="S10" s="22" t="s">
        <v>397</v>
      </c>
    </row>
    <row r="11" customFormat="false" ht="15" hidden="false" customHeight="false" outlineLevel="0" collapsed="false">
      <c r="A11" s="7" t="s">
        <v>398</v>
      </c>
      <c r="B11" s="7" t="s">
        <v>104</v>
      </c>
      <c r="C11" s="7" t="s">
        <v>105</v>
      </c>
      <c r="D11" s="7" t="s">
        <v>162</v>
      </c>
      <c r="E11" s="8" t="n">
        <v>55400</v>
      </c>
      <c r="F11" s="8" t="n">
        <v>1722000</v>
      </c>
      <c r="G11" s="11" t="n">
        <f aca="false">IFERROR(E11/F11,"")</f>
        <v>0.0321718931475029</v>
      </c>
      <c r="H11" s="7" t="s">
        <v>370</v>
      </c>
      <c r="I11" s="7" t="s">
        <v>399</v>
      </c>
      <c r="J11" s="7" t="s">
        <v>386</v>
      </c>
      <c r="K11" s="7" t="s">
        <v>400</v>
      </c>
      <c r="L11" s="7" t="s">
        <v>401</v>
      </c>
      <c r="M11" s="7"/>
      <c r="N11" s="7" t="s">
        <v>30</v>
      </c>
      <c r="O11" s="7"/>
      <c r="P11" s="7" t="s">
        <v>361</v>
      </c>
      <c r="Q11" s="7" t="s">
        <v>30</v>
      </c>
      <c r="R11" s="7"/>
      <c r="S11" s="23" t="s">
        <v>402</v>
      </c>
    </row>
    <row r="12" customFormat="false" ht="15" hidden="false" customHeight="false" outlineLevel="0" collapsed="false">
      <c r="A12" s="19" t="s">
        <v>403</v>
      </c>
      <c r="B12" s="19" t="s">
        <v>99</v>
      </c>
      <c r="C12" s="19" t="s">
        <v>100</v>
      </c>
      <c r="D12" s="19" t="s">
        <v>223</v>
      </c>
      <c r="E12" s="20" t="n">
        <v>61500</v>
      </c>
      <c r="F12" s="20" t="n">
        <v>2000000</v>
      </c>
      <c r="G12" s="21" t="n">
        <f aca="false">IFERROR(E12/F12,"")</f>
        <v>0.03075</v>
      </c>
      <c r="H12" s="19" t="s">
        <v>364</v>
      </c>
      <c r="I12" s="19" t="s">
        <v>404</v>
      </c>
      <c r="J12" s="19" t="s">
        <v>358</v>
      </c>
      <c r="K12" s="19" t="s">
        <v>405</v>
      </c>
      <c r="L12" s="19" t="s">
        <v>406</v>
      </c>
      <c r="M12" s="19"/>
      <c r="N12" s="19" t="s">
        <v>30</v>
      </c>
      <c r="O12" s="19"/>
      <c r="P12" s="19" t="s">
        <v>361</v>
      </c>
      <c r="Q12" s="19" t="s">
        <v>30</v>
      </c>
      <c r="R12" s="19"/>
      <c r="S12" s="22" t="s">
        <v>407</v>
      </c>
    </row>
    <row r="13" customFormat="false" ht="15" hidden="false" customHeight="false" outlineLevel="0" collapsed="false">
      <c r="A13" s="7" t="s">
        <v>408</v>
      </c>
      <c r="B13" s="7" t="s">
        <v>66</v>
      </c>
      <c r="C13" s="7" t="s">
        <v>67</v>
      </c>
      <c r="D13" s="7" t="s">
        <v>409</v>
      </c>
      <c r="E13" s="8" t="n">
        <v>824990000</v>
      </c>
      <c r="F13" s="8" t="n">
        <v>29648000000</v>
      </c>
      <c r="G13" s="11" t="n">
        <f aca="false">IFERROR(E13/F13,"")</f>
        <v>0.027826160280626</v>
      </c>
      <c r="H13" s="7" t="s">
        <v>356</v>
      </c>
      <c r="I13" s="7" t="s">
        <v>410</v>
      </c>
      <c r="J13" s="7" t="s">
        <v>358</v>
      </c>
      <c r="K13" s="7" t="s">
        <v>372</v>
      </c>
      <c r="L13" s="7"/>
      <c r="M13" s="7"/>
      <c r="N13" s="7" t="s">
        <v>30</v>
      </c>
      <c r="O13" s="7"/>
      <c r="P13" s="7" t="s">
        <v>411</v>
      </c>
      <c r="Q13" s="7" t="s">
        <v>30</v>
      </c>
      <c r="R13" s="7"/>
      <c r="S13" s="23" t="s">
        <v>412</v>
      </c>
    </row>
    <row r="14" customFormat="false" ht="15" hidden="false" customHeight="false" outlineLevel="0" collapsed="false">
      <c r="A14" s="19" t="s">
        <v>413</v>
      </c>
      <c r="B14" s="19" t="s">
        <v>110</v>
      </c>
      <c r="C14" s="19" t="s">
        <v>49</v>
      </c>
      <c r="D14" s="19" t="s">
        <v>223</v>
      </c>
      <c r="E14" s="20" t="n">
        <v>3000</v>
      </c>
      <c r="F14" s="20" t="n">
        <v>116153</v>
      </c>
      <c r="G14" s="21" t="n">
        <f aca="false">IFERROR(E14/F14,"")</f>
        <v>0.0258280027205496</v>
      </c>
      <c r="H14" s="19" t="s">
        <v>370</v>
      </c>
      <c r="I14" s="19" t="s">
        <v>414</v>
      </c>
      <c r="J14" s="19" t="s">
        <v>386</v>
      </c>
      <c r="K14" s="19" t="s">
        <v>400</v>
      </c>
      <c r="L14" s="19" t="s">
        <v>388</v>
      </c>
      <c r="M14" s="19"/>
      <c r="N14" s="19" t="s">
        <v>30</v>
      </c>
      <c r="O14" s="19"/>
      <c r="P14" s="19" t="s">
        <v>361</v>
      </c>
      <c r="Q14" s="19" t="s">
        <v>30</v>
      </c>
      <c r="R14" s="19"/>
      <c r="S14" s="22" t="s">
        <v>415</v>
      </c>
    </row>
    <row r="15" customFormat="false" ht="15" hidden="false" customHeight="false" outlineLevel="0" collapsed="false">
      <c r="A15" s="7" t="s">
        <v>416</v>
      </c>
      <c r="B15" s="7" t="s">
        <v>69</v>
      </c>
      <c r="C15" s="7" t="s">
        <v>70</v>
      </c>
      <c r="D15" s="7" t="s">
        <v>301</v>
      </c>
      <c r="E15" s="8" t="n">
        <v>530000000</v>
      </c>
      <c r="F15" s="8" t="n">
        <v>21390000000</v>
      </c>
      <c r="G15" s="11" t="n">
        <f aca="false">IFERROR(E15/F15,"")</f>
        <v>0.0247779336138382</v>
      </c>
      <c r="H15" s="7" t="s">
        <v>380</v>
      </c>
      <c r="I15" s="7" t="s">
        <v>417</v>
      </c>
      <c r="J15" s="7" t="s">
        <v>358</v>
      </c>
      <c r="K15" s="7" t="s">
        <v>359</v>
      </c>
      <c r="L15" s="7" t="s">
        <v>418</v>
      </c>
      <c r="M15" s="7"/>
      <c r="N15" s="7" t="s">
        <v>30</v>
      </c>
      <c r="O15" s="7"/>
      <c r="P15" s="7" t="s">
        <v>361</v>
      </c>
      <c r="Q15" s="7" t="s">
        <v>30</v>
      </c>
      <c r="R15" s="7"/>
      <c r="S15" s="23" t="s">
        <v>419</v>
      </c>
    </row>
    <row r="16" customFormat="false" ht="15" hidden="false" customHeight="false" outlineLevel="0" collapsed="false">
      <c r="A16" s="19" t="s">
        <v>420</v>
      </c>
      <c r="B16" s="19" t="s">
        <v>96</v>
      </c>
      <c r="C16" s="19" t="s">
        <v>97</v>
      </c>
      <c r="D16" s="19" t="s">
        <v>162</v>
      </c>
      <c r="E16" s="20" t="n">
        <v>443000</v>
      </c>
      <c r="F16" s="20" t="n">
        <v>20746000</v>
      </c>
      <c r="G16" s="21" t="n">
        <f aca="false">IFERROR(E16/F16,"")</f>
        <v>0.0213535139303962</v>
      </c>
      <c r="H16" s="19" t="s">
        <v>380</v>
      </c>
      <c r="I16" s="19" t="s">
        <v>421</v>
      </c>
      <c r="J16" s="19" t="s">
        <v>358</v>
      </c>
      <c r="K16" s="19" t="s">
        <v>400</v>
      </c>
      <c r="L16" s="19" t="s">
        <v>422</v>
      </c>
      <c r="M16" s="19"/>
      <c r="N16" s="19" t="s">
        <v>30</v>
      </c>
      <c r="O16" s="19"/>
      <c r="P16" s="19" t="s">
        <v>361</v>
      </c>
      <c r="Q16" s="19" t="s">
        <v>30</v>
      </c>
      <c r="R16" s="19"/>
      <c r="S16" s="22" t="s">
        <v>423</v>
      </c>
    </row>
    <row r="17" customFormat="false" ht="15" hidden="false" customHeight="false" outlineLevel="0" collapsed="false">
      <c r="A17" s="7" t="s">
        <v>424</v>
      </c>
      <c r="B17" s="7" t="s">
        <v>72</v>
      </c>
      <c r="C17" s="7" t="s">
        <v>70</v>
      </c>
      <c r="D17" s="7" t="s">
        <v>137</v>
      </c>
      <c r="E17" s="8" t="n">
        <v>310000000</v>
      </c>
      <c r="F17" s="8" t="n">
        <v>15224000000</v>
      </c>
      <c r="G17" s="11" t="n">
        <f aca="false">IFERROR(E17/F17,"")</f>
        <v>0.0203625853914871</v>
      </c>
      <c r="H17" s="7" t="s">
        <v>380</v>
      </c>
      <c r="I17" s="7" t="s">
        <v>425</v>
      </c>
      <c r="J17" s="7" t="s">
        <v>358</v>
      </c>
      <c r="K17" s="7" t="s">
        <v>359</v>
      </c>
      <c r="L17" s="7" t="s">
        <v>418</v>
      </c>
      <c r="M17" s="7"/>
      <c r="N17" s="7" t="s">
        <v>30</v>
      </c>
      <c r="O17" s="7"/>
      <c r="P17" s="7" t="s">
        <v>361</v>
      </c>
      <c r="Q17" s="7" t="s">
        <v>30</v>
      </c>
      <c r="R17" s="7"/>
      <c r="S17" s="23" t="s">
        <v>426</v>
      </c>
    </row>
    <row r="18" customFormat="false" ht="15" hidden="false" customHeight="false" outlineLevel="0" collapsed="false">
      <c r="A18" s="19" t="s">
        <v>427</v>
      </c>
      <c r="B18" s="19" t="s">
        <v>315</v>
      </c>
      <c r="C18" s="19" t="s">
        <v>178</v>
      </c>
      <c r="D18" s="19" t="s">
        <v>140</v>
      </c>
      <c r="E18" s="20" t="n">
        <v>500000</v>
      </c>
      <c r="F18" s="20" t="n">
        <v>26065200</v>
      </c>
      <c r="G18" s="21" t="n">
        <f aca="false">IFERROR(E18/F18,"")</f>
        <v>0.0191826650092844</v>
      </c>
      <c r="H18" s="19" t="s">
        <v>370</v>
      </c>
      <c r="I18" s="19" t="s">
        <v>428</v>
      </c>
      <c r="J18" s="19" t="s">
        <v>358</v>
      </c>
      <c r="K18" s="19" t="s">
        <v>372</v>
      </c>
      <c r="L18" s="19" t="s">
        <v>429</v>
      </c>
      <c r="M18" s="19"/>
      <c r="N18" s="19" t="s">
        <v>30</v>
      </c>
      <c r="O18" s="19"/>
      <c r="P18" s="19" t="s">
        <v>361</v>
      </c>
      <c r="Q18" s="19" t="s">
        <v>30</v>
      </c>
      <c r="R18" s="19"/>
      <c r="S18" s="22" t="s">
        <v>430</v>
      </c>
    </row>
    <row r="19" customFormat="false" ht="15" hidden="false" customHeight="false" outlineLevel="0" collapsed="false">
      <c r="A19" s="7" t="s">
        <v>431</v>
      </c>
      <c r="B19" s="7" t="s">
        <v>333</v>
      </c>
      <c r="C19" s="7" t="s">
        <v>57</v>
      </c>
      <c r="D19" s="7" t="s">
        <v>291</v>
      </c>
      <c r="E19" s="8" t="n">
        <v>40000</v>
      </c>
      <c r="F19" s="8" t="n">
        <v>2100000</v>
      </c>
      <c r="G19" s="11" t="n">
        <f aca="false">IFERROR(E19/F19,"")</f>
        <v>0.0190476190476191</v>
      </c>
      <c r="H19" s="7" t="s">
        <v>370</v>
      </c>
      <c r="I19" s="7" t="s">
        <v>432</v>
      </c>
      <c r="J19" s="7" t="s">
        <v>386</v>
      </c>
      <c r="K19" s="7" t="s">
        <v>433</v>
      </c>
      <c r="L19" s="7" t="s">
        <v>377</v>
      </c>
      <c r="M19" s="7" t="s">
        <v>132</v>
      </c>
      <c r="N19" s="7" t="s">
        <v>133</v>
      </c>
      <c r="O19" s="7" t="s">
        <v>334</v>
      </c>
      <c r="P19" s="7" t="s">
        <v>361</v>
      </c>
      <c r="Q19" s="7" t="s">
        <v>54</v>
      </c>
      <c r="R19" s="7"/>
      <c r="S19" s="23" t="s">
        <v>434</v>
      </c>
    </row>
    <row r="20" customFormat="false" ht="15" hidden="false" customHeight="false" outlineLevel="0" collapsed="false">
      <c r="A20" s="19" t="s">
        <v>435</v>
      </c>
      <c r="B20" s="19" t="s">
        <v>312</v>
      </c>
      <c r="C20" s="19" t="s">
        <v>178</v>
      </c>
      <c r="D20" s="19" t="s">
        <v>223</v>
      </c>
      <c r="E20" s="20" t="n">
        <v>500000</v>
      </c>
      <c r="F20" s="20" t="n">
        <v>27600000</v>
      </c>
      <c r="G20" s="21" t="n">
        <f aca="false">IFERROR(E20/F20,"")</f>
        <v>0.0181159420289855</v>
      </c>
      <c r="H20" s="19" t="s">
        <v>370</v>
      </c>
      <c r="I20" s="19" t="s">
        <v>436</v>
      </c>
      <c r="J20" s="19" t="s">
        <v>358</v>
      </c>
      <c r="K20" s="19" t="s">
        <v>366</v>
      </c>
      <c r="L20" s="19" t="s">
        <v>429</v>
      </c>
      <c r="M20" s="19" t="s">
        <v>313</v>
      </c>
      <c r="N20" s="19" t="s">
        <v>133</v>
      </c>
      <c r="O20" s="19" t="s">
        <v>314</v>
      </c>
      <c r="P20" s="19" t="s">
        <v>361</v>
      </c>
      <c r="Q20" s="19" t="s">
        <v>54</v>
      </c>
      <c r="R20" s="19"/>
      <c r="S20" s="22" t="s">
        <v>437</v>
      </c>
    </row>
    <row r="21" customFormat="false" ht="15" hidden="false" customHeight="false" outlineLevel="0" collapsed="false">
      <c r="A21" s="7" t="s">
        <v>438</v>
      </c>
      <c r="B21" s="7" t="s">
        <v>322</v>
      </c>
      <c r="C21" s="7" t="s">
        <v>178</v>
      </c>
      <c r="D21" s="7" t="s">
        <v>223</v>
      </c>
      <c r="E21" s="8" t="n">
        <v>180000</v>
      </c>
      <c r="F21" s="8" t="n">
        <v>10397600</v>
      </c>
      <c r="G21" s="11" t="n">
        <f aca="false">IFERROR(E21/F21,"")</f>
        <v>0.0173116873124567</v>
      </c>
      <c r="H21" s="7" t="s">
        <v>364</v>
      </c>
      <c r="I21" s="7" t="s">
        <v>414</v>
      </c>
      <c r="J21" s="7" t="s">
        <v>386</v>
      </c>
      <c r="K21" s="7" t="s">
        <v>400</v>
      </c>
      <c r="L21" s="7" t="s">
        <v>429</v>
      </c>
      <c r="M21" s="7"/>
      <c r="N21" s="7" t="s">
        <v>30</v>
      </c>
      <c r="O21" s="7"/>
      <c r="P21" s="7" t="s">
        <v>361</v>
      </c>
      <c r="Q21" s="7" t="s">
        <v>30</v>
      </c>
      <c r="R21" s="7"/>
      <c r="S21" s="23" t="s">
        <v>439</v>
      </c>
    </row>
    <row r="22" customFormat="false" ht="15" hidden="false" customHeight="false" outlineLevel="0" collapsed="false">
      <c r="A22" s="19" t="s">
        <v>440</v>
      </c>
      <c r="B22" s="19" t="s">
        <v>316</v>
      </c>
      <c r="C22" s="19" t="s">
        <v>178</v>
      </c>
      <c r="D22" s="19" t="s">
        <v>223</v>
      </c>
      <c r="E22" s="20" t="n">
        <v>400000</v>
      </c>
      <c r="F22" s="20" t="n">
        <v>24165400</v>
      </c>
      <c r="G22" s="21" t="n">
        <f aca="false">IFERROR(E22/F22,"")</f>
        <v>0.0165525917220489</v>
      </c>
      <c r="H22" s="19" t="s">
        <v>441</v>
      </c>
      <c r="I22" s="19" t="s">
        <v>371</v>
      </c>
      <c r="J22" s="19" t="s">
        <v>358</v>
      </c>
      <c r="K22" s="19" t="s">
        <v>400</v>
      </c>
      <c r="L22" s="19" t="s">
        <v>429</v>
      </c>
      <c r="M22" s="19"/>
      <c r="N22" s="19" t="s">
        <v>30</v>
      </c>
      <c r="O22" s="19"/>
      <c r="P22" s="19" t="s">
        <v>361</v>
      </c>
      <c r="Q22" s="19" t="s">
        <v>30</v>
      </c>
      <c r="R22" s="19"/>
      <c r="S22" s="22" t="s">
        <v>442</v>
      </c>
    </row>
    <row r="23" customFormat="false" ht="15" hidden="false" customHeight="false" outlineLevel="0" collapsed="false">
      <c r="A23" s="7" t="s">
        <v>443</v>
      </c>
      <c r="B23" s="7" t="s">
        <v>335</v>
      </c>
      <c r="C23" s="7" t="s">
        <v>178</v>
      </c>
      <c r="D23" s="7" t="s">
        <v>140</v>
      </c>
      <c r="E23" s="8" t="n">
        <v>20000</v>
      </c>
      <c r="F23" s="8" t="n">
        <v>1220000</v>
      </c>
      <c r="G23" s="11" t="n">
        <f aca="false">IFERROR(E23/F23,"")</f>
        <v>0.0163934426229508</v>
      </c>
      <c r="H23" s="7" t="s">
        <v>370</v>
      </c>
      <c r="I23" s="7" t="s">
        <v>444</v>
      </c>
      <c r="J23" s="7" t="s">
        <v>358</v>
      </c>
      <c r="K23" s="7" t="s">
        <v>445</v>
      </c>
      <c r="L23" s="7" t="s">
        <v>429</v>
      </c>
      <c r="M23" s="7" t="s">
        <v>336</v>
      </c>
      <c r="N23" s="7" t="s">
        <v>133</v>
      </c>
      <c r="O23" s="7" t="s">
        <v>314</v>
      </c>
      <c r="P23" s="7" t="s">
        <v>361</v>
      </c>
      <c r="Q23" s="7" t="s">
        <v>54</v>
      </c>
      <c r="R23" s="7"/>
      <c r="S23" s="23" t="s">
        <v>446</v>
      </c>
    </row>
    <row r="24" customFormat="false" ht="15" hidden="false" customHeight="false" outlineLevel="0" collapsed="false">
      <c r="A24" s="19" t="s">
        <v>447</v>
      </c>
      <c r="B24" s="19" t="s">
        <v>216</v>
      </c>
      <c r="C24" s="19" t="s">
        <v>70</v>
      </c>
      <c r="D24" s="19" t="s">
        <v>132</v>
      </c>
      <c r="E24" s="20" t="n">
        <v>345000000</v>
      </c>
      <c r="F24" s="20" t="n">
        <v>21390000000</v>
      </c>
      <c r="G24" s="21" t="n">
        <f aca="false">IFERROR(E24/F24,"")</f>
        <v>0.0161290322580645</v>
      </c>
      <c r="H24" s="19" t="s">
        <v>380</v>
      </c>
      <c r="I24" s="19" t="s">
        <v>448</v>
      </c>
      <c r="J24" s="19" t="s">
        <v>358</v>
      </c>
      <c r="K24" s="19" t="s">
        <v>372</v>
      </c>
      <c r="L24" s="19" t="s">
        <v>418</v>
      </c>
      <c r="M24" s="19"/>
      <c r="N24" s="19" t="s">
        <v>30</v>
      </c>
      <c r="O24" s="19"/>
      <c r="P24" s="19" t="s">
        <v>361</v>
      </c>
      <c r="Q24" s="19" t="s">
        <v>30</v>
      </c>
      <c r="R24" s="19"/>
      <c r="S24" s="22" t="s">
        <v>449</v>
      </c>
    </row>
    <row r="25" customFormat="false" ht="15" hidden="false" customHeight="false" outlineLevel="0" collapsed="false">
      <c r="A25" s="7" t="s">
        <v>450</v>
      </c>
      <c r="B25" s="7" t="s">
        <v>323</v>
      </c>
      <c r="C25" s="7" t="s">
        <v>451</v>
      </c>
      <c r="D25" s="7" t="s">
        <v>223</v>
      </c>
      <c r="E25" s="8" t="n">
        <v>160000</v>
      </c>
      <c r="F25" s="8" t="n">
        <v>10080000</v>
      </c>
      <c r="G25" s="11" t="n">
        <f aca="false">IFERROR(E25/F25,"")</f>
        <v>0.0158730158730159</v>
      </c>
      <c r="H25" s="7" t="s">
        <v>356</v>
      </c>
      <c r="I25" s="7" t="s">
        <v>371</v>
      </c>
      <c r="J25" s="7" t="s">
        <v>358</v>
      </c>
      <c r="K25" s="7" t="s">
        <v>372</v>
      </c>
      <c r="L25" s="7"/>
      <c r="M25" s="7"/>
      <c r="N25" s="7" t="s">
        <v>30</v>
      </c>
      <c r="O25" s="7"/>
      <c r="P25" s="7" t="s">
        <v>452</v>
      </c>
      <c r="Q25" s="7" t="s">
        <v>30</v>
      </c>
      <c r="R25" s="7"/>
      <c r="S25" s="23" t="s">
        <v>453</v>
      </c>
    </row>
    <row r="26" customFormat="false" ht="15" hidden="false" customHeight="false" outlineLevel="0" collapsed="false">
      <c r="A26" s="19" t="s">
        <v>454</v>
      </c>
      <c r="B26" s="19" t="s">
        <v>320</v>
      </c>
      <c r="C26" s="19" t="s">
        <v>238</v>
      </c>
      <c r="D26" s="19" t="s">
        <v>137</v>
      </c>
      <c r="E26" s="20" t="n">
        <v>174640</v>
      </c>
      <c r="F26" s="20" t="n">
        <v>11191832</v>
      </c>
      <c r="G26" s="21" t="n">
        <f aca="false">IFERROR(E26/F26,"")</f>
        <v>0.0156042370900492</v>
      </c>
      <c r="H26" s="19" t="s">
        <v>370</v>
      </c>
      <c r="I26" s="19" t="s">
        <v>455</v>
      </c>
      <c r="J26" s="19" t="s">
        <v>358</v>
      </c>
      <c r="K26" s="19" t="s">
        <v>445</v>
      </c>
      <c r="L26" s="19" t="s">
        <v>456</v>
      </c>
      <c r="M26" s="19" t="s">
        <v>291</v>
      </c>
      <c r="N26" s="19" t="s">
        <v>133</v>
      </c>
      <c r="O26" s="19" t="s">
        <v>321</v>
      </c>
      <c r="P26" s="19" t="s">
        <v>361</v>
      </c>
      <c r="Q26" s="19" t="s">
        <v>36</v>
      </c>
      <c r="R26" s="19"/>
      <c r="S26" s="22" t="s">
        <v>457</v>
      </c>
    </row>
    <row r="27" customFormat="false" ht="15" hidden="false" customHeight="false" outlineLevel="0" collapsed="false">
      <c r="A27" s="7" t="s">
        <v>458</v>
      </c>
      <c r="B27" s="7" t="s">
        <v>311</v>
      </c>
      <c r="C27" s="7" t="s">
        <v>185</v>
      </c>
      <c r="D27" s="7" t="s">
        <v>140</v>
      </c>
      <c r="E27" s="8" t="n">
        <v>500000</v>
      </c>
      <c r="F27" s="8" t="n">
        <v>32210000</v>
      </c>
      <c r="G27" s="11" t="n">
        <f aca="false">IFERROR(E27/F27,"")</f>
        <v>0.0155231294628997</v>
      </c>
      <c r="H27" s="7" t="s">
        <v>370</v>
      </c>
      <c r="I27" s="7" t="s">
        <v>459</v>
      </c>
      <c r="J27" s="7" t="s">
        <v>358</v>
      </c>
      <c r="K27" s="7" t="s">
        <v>359</v>
      </c>
      <c r="L27" s="7" t="s">
        <v>460</v>
      </c>
      <c r="M27" s="7"/>
      <c r="N27" s="7" t="s">
        <v>30</v>
      </c>
      <c r="O27" s="7"/>
      <c r="P27" s="7" t="s">
        <v>361</v>
      </c>
      <c r="Q27" s="7" t="s">
        <v>30</v>
      </c>
      <c r="R27" s="7"/>
      <c r="S27" s="23" t="s">
        <v>461</v>
      </c>
    </row>
    <row r="28" customFormat="false" ht="15" hidden="false" customHeight="false" outlineLevel="0" collapsed="false">
      <c r="A28" s="19" t="s">
        <v>462</v>
      </c>
      <c r="B28" s="19" t="s">
        <v>305</v>
      </c>
      <c r="C28" s="19" t="s">
        <v>108</v>
      </c>
      <c r="D28" s="19" t="s">
        <v>137</v>
      </c>
      <c r="E28" s="20" t="n">
        <v>950000</v>
      </c>
      <c r="F28" s="20" t="n">
        <v>66290000</v>
      </c>
      <c r="G28" s="21" t="n">
        <f aca="false">IFERROR(E28/F28,"")</f>
        <v>0.0143309699803892</v>
      </c>
      <c r="H28" s="19" t="s">
        <v>364</v>
      </c>
      <c r="I28" s="19" t="s">
        <v>421</v>
      </c>
      <c r="J28" s="19" t="s">
        <v>358</v>
      </c>
      <c r="K28" s="19" t="s">
        <v>400</v>
      </c>
      <c r="L28" s="19" t="s">
        <v>367</v>
      </c>
      <c r="M28" s="19"/>
      <c r="N28" s="19" t="s">
        <v>30</v>
      </c>
      <c r="O28" s="19"/>
      <c r="P28" s="19" t="s">
        <v>361</v>
      </c>
      <c r="Q28" s="19" t="s">
        <v>30</v>
      </c>
      <c r="R28" s="19"/>
      <c r="S28" s="22" t="s">
        <v>463</v>
      </c>
    </row>
    <row r="29" customFormat="false" ht="15" hidden="false" customHeight="false" outlineLevel="0" collapsed="false">
      <c r="A29" s="7" t="s">
        <v>464</v>
      </c>
      <c r="B29" s="7" t="s">
        <v>307</v>
      </c>
      <c r="C29" s="7" t="s">
        <v>29</v>
      </c>
      <c r="D29" s="7" t="s">
        <v>140</v>
      </c>
      <c r="E29" s="8" t="n">
        <v>600000</v>
      </c>
      <c r="F29" s="8" t="n">
        <v>50000000</v>
      </c>
      <c r="G29" s="11" t="n">
        <f aca="false">IFERROR(E29/F29,"")</f>
        <v>0.012</v>
      </c>
      <c r="H29" s="7" t="s">
        <v>370</v>
      </c>
      <c r="I29" s="7" t="s">
        <v>465</v>
      </c>
      <c r="J29" s="7" t="s">
        <v>386</v>
      </c>
      <c r="K29" s="7" t="s">
        <v>400</v>
      </c>
      <c r="L29" s="7" t="s">
        <v>360</v>
      </c>
      <c r="M29" s="7"/>
      <c r="N29" s="7" t="s">
        <v>30</v>
      </c>
      <c r="O29" s="7"/>
      <c r="P29" s="7" t="s">
        <v>361</v>
      </c>
      <c r="Q29" s="7" t="s">
        <v>30</v>
      </c>
      <c r="R29" s="7"/>
      <c r="S29" s="23" t="s">
        <v>466</v>
      </c>
    </row>
    <row r="30" customFormat="false" ht="15" hidden="false" customHeight="false" outlineLevel="0" collapsed="false">
      <c r="A30" s="19" t="s">
        <v>467</v>
      </c>
      <c r="B30" s="19" t="s">
        <v>296</v>
      </c>
      <c r="C30" s="19" t="s">
        <v>236</v>
      </c>
      <c r="D30" s="19" t="s">
        <v>162</v>
      </c>
      <c r="E30" s="20" t="n">
        <v>1405000</v>
      </c>
      <c r="F30" s="20" t="n">
        <v>133260800</v>
      </c>
      <c r="G30" s="21" t="n">
        <f aca="false">IFERROR(E30/F30,"")</f>
        <v>0.0105432355201229</v>
      </c>
      <c r="H30" s="19" t="s">
        <v>370</v>
      </c>
      <c r="I30" s="19" t="s">
        <v>468</v>
      </c>
      <c r="J30" s="19" t="s">
        <v>358</v>
      </c>
      <c r="K30" s="19" t="s">
        <v>400</v>
      </c>
      <c r="L30" s="19" t="s">
        <v>469</v>
      </c>
      <c r="M30" s="19"/>
      <c r="N30" s="19" t="s">
        <v>30</v>
      </c>
      <c r="O30" s="19"/>
      <c r="P30" s="19" t="s">
        <v>361</v>
      </c>
      <c r="Q30" s="19" t="s">
        <v>30</v>
      </c>
      <c r="R30" s="19"/>
      <c r="S30" s="22" t="s">
        <v>470</v>
      </c>
    </row>
    <row r="31" customFormat="false" ht="15" hidden="false" customHeight="false" outlineLevel="0" collapsed="false">
      <c r="A31" s="7" t="s">
        <v>471</v>
      </c>
      <c r="B31" s="7" t="s">
        <v>331</v>
      </c>
      <c r="C31" s="7" t="s">
        <v>29</v>
      </c>
      <c r="D31" s="7" t="s">
        <v>132</v>
      </c>
      <c r="E31" s="8" t="n">
        <v>25000</v>
      </c>
      <c r="F31" s="8" t="n">
        <v>2500000</v>
      </c>
      <c r="G31" s="11" t="n">
        <f aca="false">IFERROR(E31/F31,"")</f>
        <v>0.01</v>
      </c>
      <c r="H31" s="7" t="s">
        <v>370</v>
      </c>
      <c r="I31" s="7" t="s">
        <v>472</v>
      </c>
      <c r="J31" s="7" t="s">
        <v>358</v>
      </c>
      <c r="K31" s="7" t="s">
        <v>473</v>
      </c>
      <c r="L31" s="7" t="s">
        <v>360</v>
      </c>
      <c r="M31" s="7" t="s">
        <v>132</v>
      </c>
      <c r="N31" s="7" t="s">
        <v>133</v>
      </c>
      <c r="O31" s="7" t="s">
        <v>332</v>
      </c>
      <c r="P31" s="7" t="s">
        <v>361</v>
      </c>
      <c r="Q31" s="7" t="s">
        <v>54</v>
      </c>
      <c r="R31" s="7"/>
      <c r="S31" s="23" t="s">
        <v>474</v>
      </c>
    </row>
    <row r="32" customFormat="false" ht="15" hidden="false" customHeight="false" outlineLevel="0" collapsed="false">
      <c r="A32" s="19" t="s">
        <v>475</v>
      </c>
      <c r="B32" s="19" t="s">
        <v>289</v>
      </c>
      <c r="C32" s="19" t="s">
        <v>178</v>
      </c>
      <c r="D32" s="19" t="s">
        <v>140</v>
      </c>
      <c r="E32" s="20" t="n">
        <v>1750000</v>
      </c>
      <c r="F32" s="20" t="n">
        <v>177643200</v>
      </c>
      <c r="G32" s="21" t="n">
        <f aca="false">IFERROR(E32/F32,"")</f>
        <v>0.00985120736397453</v>
      </c>
      <c r="H32" s="19" t="s">
        <v>364</v>
      </c>
      <c r="I32" s="19" t="s">
        <v>476</v>
      </c>
      <c r="J32" s="19" t="s">
        <v>358</v>
      </c>
      <c r="K32" s="19" t="s">
        <v>372</v>
      </c>
      <c r="L32" s="19" t="s">
        <v>429</v>
      </c>
      <c r="M32" s="19"/>
      <c r="N32" s="19" t="s">
        <v>30</v>
      </c>
      <c r="O32" s="19"/>
      <c r="P32" s="19" t="s">
        <v>361</v>
      </c>
      <c r="Q32" s="19" t="s">
        <v>30</v>
      </c>
      <c r="R32" s="19"/>
      <c r="S32" s="22" t="s">
        <v>477</v>
      </c>
    </row>
    <row r="33" customFormat="false" ht="15" hidden="false" customHeight="false" outlineLevel="0" collapsed="false">
      <c r="A33" s="7" t="s">
        <v>478</v>
      </c>
      <c r="B33" s="7" t="s">
        <v>479</v>
      </c>
      <c r="C33" s="7" t="s">
        <v>67</v>
      </c>
      <c r="D33" s="7" t="s">
        <v>137</v>
      </c>
      <c r="E33" s="8" t="n">
        <v>290000000</v>
      </c>
      <c r="F33" s="8" t="n">
        <v>29648000000</v>
      </c>
      <c r="G33" s="11" t="n">
        <f aca="false">IFERROR(E33/F33,"")</f>
        <v>0.00978143550998381</v>
      </c>
      <c r="H33" s="7" t="s">
        <v>480</v>
      </c>
      <c r="I33" s="7" t="s">
        <v>481</v>
      </c>
      <c r="J33" s="7" t="s">
        <v>358</v>
      </c>
      <c r="K33" s="7" t="s">
        <v>372</v>
      </c>
      <c r="L33" s="7" t="s">
        <v>396</v>
      </c>
      <c r="M33" s="7"/>
      <c r="N33" s="7" t="s">
        <v>30</v>
      </c>
      <c r="O33" s="7"/>
      <c r="P33" s="7" t="s">
        <v>361</v>
      </c>
      <c r="Q33" s="7" t="s">
        <v>30</v>
      </c>
      <c r="R33" s="7"/>
      <c r="S33" s="23" t="s">
        <v>482</v>
      </c>
    </row>
    <row r="34" customFormat="false" ht="15" hidden="false" customHeight="false" outlineLevel="0" collapsed="false">
      <c r="A34" s="19" t="s">
        <v>483</v>
      </c>
      <c r="B34" s="19" t="s">
        <v>328</v>
      </c>
      <c r="C34" s="19" t="s">
        <v>57</v>
      </c>
      <c r="D34" s="19" t="s">
        <v>162</v>
      </c>
      <c r="E34" s="20" t="n">
        <v>40000</v>
      </c>
      <c r="F34" s="20" t="n">
        <v>4200000</v>
      </c>
      <c r="G34" s="21" t="n">
        <f aca="false">IFERROR(E34/F34,"")</f>
        <v>0.00952380952380953</v>
      </c>
      <c r="H34" s="19" t="s">
        <v>370</v>
      </c>
      <c r="I34" s="19" t="s">
        <v>484</v>
      </c>
      <c r="J34" s="19" t="s">
        <v>358</v>
      </c>
      <c r="K34" s="19" t="s">
        <v>359</v>
      </c>
      <c r="L34" s="19" t="s">
        <v>377</v>
      </c>
      <c r="M34" s="19"/>
      <c r="N34" s="19" t="s">
        <v>30</v>
      </c>
      <c r="O34" s="19"/>
      <c r="P34" s="19" t="s">
        <v>361</v>
      </c>
      <c r="Q34" s="19" t="s">
        <v>30</v>
      </c>
      <c r="R34" s="19"/>
      <c r="S34" s="22" t="s">
        <v>485</v>
      </c>
    </row>
    <row r="35" customFormat="false" ht="15" hidden="false" customHeight="false" outlineLevel="0" collapsed="false">
      <c r="A35" s="7" t="s">
        <v>486</v>
      </c>
      <c r="B35" s="7" t="s">
        <v>281</v>
      </c>
      <c r="C35" s="7" t="s">
        <v>75</v>
      </c>
      <c r="D35" s="7" t="s">
        <v>162</v>
      </c>
      <c r="E35" s="8" t="n">
        <v>2900000</v>
      </c>
      <c r="F35" s="8" t="n">
        <v>341930000</v>
      </c>
      <c r="G35" s="11" t="n">
        <f aca="false">IFERROR(E35/F35,"")</f>
        <v>0.00848126809580908</v>
      </c>
      <c r="H35" s="7" t="s">
        <v>487</v>
      </c>
      <c r="I35" s="7" t="s">
        <v>468</v>
      </c>
      <c r="J35" s="7" t="s">
        <v>358</v>
      </c>
      <c r="K35" s="7" t="s">
        <v>400</v>
      </c>
      <c r="L35" s="7" t="s">
        <v>488</v>
      </c>
      <c r="M35" s="7"/>
      <c r="N35" s="7" t="s">
        <v>30</v>
      </c>
      <c r="O35" s="7"/>
      <c r="P35" s="7" t="s">
        <v>361</v>
      </c>
      <c r="Q35" s="7" t="s">
        <v>30</v>
      </c>
      <c r="R35" s="7"/>
      <c r="S35" s="23" t="s">
        <v>489</v>
      </c>
    </row>
    <row r="36" customFormat="false" ht="15" hidden="false" customHeight="false" outlineLevel="0" collapsed="false">
      <c r="A36" s="19" t="s">
        <v>490</v>
      </c>
      <c r="B36" s="19" t="s">
        <v>190</v>
      </c>
      <c r="C36" s="19" t="s">
        <v>57</v>
      </c>
      <c r="D36" s="19" t="s">
        <v>140</v>
      </c>
      <c r="E36" s="20" t="n">
        <v>4500000</v>
      </c>
      <c r="F36" s="20" t="n">
        <v>581000000</v>
      </c>
      <c r="G36" s="21" t="n">
        <f aca="false">IFERROR(E36/F36,"")</f>
        <v>0.00774526678141136</v>
      </c>
      <c r="H36" s="19" t="s">
        <v>380</v>
      </c>
      <c r="I36" s="19" t="s">
        <v>491</v>
      </c>
      <c r="J36" s="19" t="s">
        <v>358</v>
      </c>
      <c r="K36" s="19" t="s">
        <v>372</v>
      </c>
      <c r="L36" s="19" t="s">
        <v>377</v>
      </c>
      <c r="M36" s="19"/>
      <c r="N36" s="19" t="s">
        <v>30</v>
      </c>
      <c r="O36" s="19"/>
      <c r="P36" s="19" t="s">
        <v>361</v>
      </c>
      <c r="Q36" s="19" t="s">
        <v>30</v>
      </c>
      <c r="R36" s="19"/>
      <c r="S36" s="22" t="s">
        <v>492</v>
      </c>
    </row>
    <row r="37" customFormat="false" ht="15" hidden="false" customHeight="false" outlineLevel="0" collapsed="false">
      <c r="A37" s="7" t="s">
        <v>493</v>
      </c>
      <c r="B37" s="7" t="s">
        <v>184</v>
      </c>
      <c r="C37" s="7" t="s">
        <v>185</v>
      </c>
      <c r="D37" s="7" t="s">
        <v>223</v>
      </c>
      <c r="E37" s="8" t="n">
        <v>16000000</v>
      </c>
      <c r="F37" s="8" t="n">
        <v>2189200000</v>
      </c>
      <c r="G37" s="11" t="n">
        <f aca="false">IFERROR(E37/F37,"")</f>
        <v>0.00730860588342774</v>
      </c>
      <c r="H37" s="7" t="s">
        <v>356</v>
      </c>
      <c r="I37" s="7" t="s">
        <v>494</v>
      </c>
      <c r="J37" s="7" t="s">
        <v>358</v>
      </c>
      <c r="K37" s="7" t="s">
        <v>359</v>
      </c>
      <c r="L37" s="7" t="s">
        <v>460</v>
      </c>
      <c r="M37" s="7"/>
      <c r="N37" s="7" t="s">
        <v>30</v>
      </c>
      <c r="O37" s="7"/>
      <c r="P37" s="7" t="s">
        <v>361</v>
      </c>
      <c r="Q37" s="7" t="s">
        <v>30</v>
      </c>
      <c r="R37" s="7"/>
      <c r="S37" s="23" t="s">
        <v>495</v>
      </c>
    </row>
    <row r="38" customFormat="false" ht="15" hidden="false" customHeight="false" outlineLevel="0" collapsed="false">
      <c r="A38" s="19" t="s">
        <v>496</v>
      </c>
      <c r="B38" s="19" t="s">
        <v>300</v>
      </c>
      <c r="C38" s="19" t="s">
        <v>238</v>
      </c>
      <c r="D38" s="19" t="s">
        <v>162</v>
      </c>
      <c r="E38" s="20" t="n">
        <v>600000</v>
      </c>
      <c r="F38" s="20" t="n">
        <v>95789805</v>
      </c>
      <c r="G38" s="21" t="n">
        <f aca="false">IFERROR(E38/F38,"")</f>
        <v>0.00626371459885527</v>
      </c>
      <c r="H38" s="19" t="s">
        <v>380</v>
      </c>
      <c r="I38" s="19" t="s">
        <v>497</v>
      </c>
      <c r="J38" s="19" t="s">
        <v>358</v>
      </c>
      <c r="K38" s="19" t="s">
        <v>366</v>
      </c>
      <c r="L38" s="19" t="s">
        <v>456</v>
      </c>
      <c r="M38" s="19" t="s">
        <v>301</v>
      </c>
      <c r="N38" s="19" t="s">
        <v>133</v>
      </c>
      <c r="O38" s="19" t="s">
        <v>302</v>
      </c>
      <c r="P38" s="19" t="s">
        <v>361</v>
      </c>
      <c r="Q38" s="19" t="s">
        <v>54</v>
      </c>
      <c r="R38" s="19"/>
      <c r="S38" s="22" t="s">
        <v>498</v>
      </c>
    </row>
    <row r="39" customFormat="false" ht="15" hidden="false" customHeight="false" outlineLevel="0" collapsed="false">
      <c r="A39" s="7" t="s">
        <v>499</v>
      </c>
      <c r="B39" s="7" t="s">
        <v>330</v>
      </c>
      <c r="C39" s="7" t="s">
        <v>204</v>
      </c>
      <c r="D39" s="7" t="s">
        <v>144</v>
      </c>
      <c r="E39" s="8" t="n">
        <v>20000</v>
      </c>
      <c r="F39" s="8" t="n">
        <v>3280000</v>
      </c>
      <c r="G39" s="11" t="n">
        <f aca="false">IFERROR(E39/F39,"")</f>
        <v>0.00609756097560976</v>
      </c>
      <c r="H39" s="7" t="s">
        <v>380</v>
      </c>
      <c r="I39" s="7" t="s">
        <v>414</v>
      </c>
      <c r="J39" s="7" t="s">
        <v>386</v>
      </c>
      <c r="K39" s="7" t="s">
        <v>400</v>
      </c>
      <c r="L39" s="7" t="s">
        <v>500</v>
      </c>
      <c r="M39" s="7"/>
      <c r="N39" s="7" t="s">
        <v>30</v>
      </c>
      <c r="O39" s="7"/>
      <c r="P39" s="7" t="s">
        <v>361</v>
      </c>
      <c r="Q39" s="7" t="s">
        <v>30</v>
      </c>
      <c r="R39" s="7"/>
      <c r="S39" s="23" t="s">
        <v>501</v>
      </c>
    </row>
    <row r="40" customFormat="false" ht="15" hidden="false" customHeight="false" outlineLevel="0" collapsed="false">
      <c r="A40" s="19" t="s">
        <v>502</v>
      </c>
      <c r="B40" s="19" t="s">
        <v>298</v>
      </c>
      <c r="C40" s="19" t="s">
        <v>97</v>
      </c>
      <c r="D40" s="19" t="s">
        <v>223</v>
      </c>
      <c r="E40" s="20" t="n">
        <v>660000</v>
      </c>
      <c r="F40" s="20" t="n">
        <v>112832000</v>
      </c>
      <c r="G40" s="21" t="n">
        <f aca="false">IFERROR(E40/F40,"")</f>
        <v>0.0058494044242768</v>
      </c>
      <c r="H40" s="19" t="s">
        <v>370</v>
      </c>
      <c r="I40" s="19" t="s">
        <v>414</v>
      </c>
      <c r="J40" s="19" t="s">
        <v>386</v>
      </c>
      <c r="K40" s="19" t="s">
        <v>400</v>
      </c>
      <c r="L40" s="19" t="s">
        <v>422</v>
      </c>
      <c r="M40" s="19"/>
      <c r="N40" s="19" t="s">
        <v>30</v>
      </c>
      <c r="O40" s="19"/>
      <c r="P40" s="19" t="s">
        <v>361</v>
      </c>
      <c r="Q40" s="19" t="s">
        <v>30</v>
      </c>
      <c r="R40" s="19"/>
      <c r="S40" s="22" t="s">
        <v>503</v>
      </c>
    </row>
    <row r="41" customFormat="false" ht="15" hidden="false" customHeight="false" outlineLevel="0" collapsed="false">
      <c r="A41" s="7" t="s">
        <v>504</v>
      </c>
      <c r="B41" s="7" t="s">
        <v>317</v>
      </c>
      <c r="C41" s="7" t="s">
        <v>108</v>
      </c>
      <c r="D41" s="7" t="s">
        <v>140</v>
      </c>
      <c r="E41" s="8" t="n">
        <v>75000</v>
      </c>
      <c r="F41" s="8" t="n">
        <v>14043000</v>
      </c>
      <c r="G41" s="11" t="n">
        <f aca="false">IFERROR(E41/F41,"")</f>
        <v>0.00534073915829951</v>
      </c>
      <c r="H41" s="7" t="s">
        <v>370</v>
      </c>
      <c r="I41" s="7" t="s">
        <v>505</v>
      </c>
      <c r="J41" s="7" t="s">
        <v>358</v>
      </c>
      <c r="K41" s="7" t="s">
        <v>366</v>
      </c>
      <c r="L41" s="7" t="s">
        <v>367</v>
      </c>
      <c r="M41" s="7" t="s">
        <v>132</v>
      </c>
      <c r="N41" s="7" t="s">
        <v>133</v>
      </c>
      <c r="O41" s="7" t="s">
        <v>142</v>
      </c>
      <c r="P41" s="7" t="s">
        <v>361</v>
      </c>
      <c r="Q41" s="7" t="s">
        <v>36</v>
      </c>
      <c r="R41" s="7"/>
      <c r="S41" s="23" t="s">
        <v>506</v>
      </c>
    </row>
    <row r="42" customFormat="false" ht="15" hidden="false" customHeight="false" outlineLevel="0" collapsed="false">
      <c r="A42" s="19" t="s">
        <v>507</v>
      </c>
      <c r="B42" s="19" t="s">
        <v>161</v>
      </c>
      <c r="C42" s="19" t="s">
        <v>70</v>
      </c>
      <c r="D42" s="19" t="s">
        <v>140</v>
      </c>
      <c r="E42" s="20" t="n">
        <v>225000000</v>
      </c>
      <c r="F42" s="20" t="n">
        <v>45000000000</v>
      </c>
      <c r="G42" s="21" t="n">
        <f aca="false">IFERROR(E42/F42,"")</f>
        <v>0.005</v>
      </c>
      <c r="H42" s="19" t="s">
        <v>380</v>
      </c>
      <c r="I42" s="19" t="s">
        <v>508</v>
      </c>
      <c r="J42" s="19" t="s">
        <v>358</v>
      </c>
      <c r="K42" s="19" t="s">
        <v>445</v>
      </c>
      <c r="L42" s="19" t="s">
        <v>418</v>
      </c>
      <c r="M42" s="19" t="s">
        <v>162</v>
      </c>
      <c r="N42" s="19" t="s">
        <v>145</v>
      </c>
      <c r="O42" s="19" t="s">
        <v>163</v>
      </c>
      <c r="P42" s="19" t="s">
        <v>361</v>
      </c>
      <c r="Q42" s="19" t="s">
        <v>36</v>
      </c>
      <c r="R42" s="19"/>
      <c r="S42" s="22" t="s">
        <v>509</v>
      </c>
    </row>
    <row r="43" customFormat="false" ht="15" hidden="false" customHeight="false" outlineLevel="0" collapsed="false">
      <c r="A43" s="7" t="s">
        <v>510</v>
      </c>
      <c r="B43" s="7" t="s">
        <v>246</v>
      </c>
      <c r="C43" s="7" t="s">
        <v>236</v>
      </c>
      <c r="D43" s="7" t="s">
        <v>162</v>
      </c>
      <c r="E43" s="8" t="n">
        <v>22046000</v>
      </c>
      <c r="F43" s="8" t="n">
        <v>4520000000</v>
      </c>
      <c r="G43" s="11" t="n">
        <f aca="false">IFERROR(E43/F43,"")</f>
        <v>0.00487743362831858</v>
      </c>
      <c r="H43" s="7" t="s">
        <v>356</v>
      </c>
      <c r="I43" s="7" t="s">
        <v>468</v>
      </c>
      <c r="J43" s="7" t="s">
        <v>358</v>
      </c>
      <c r="K43" s="7" t="s">
        <v>400</v>
      </c>
      <c r="L43" s="7" t="s">
        <v>469</v>
      </c>
      <c r="M43" s="7"/>
      <c r="N43" s="7" t="s">
        <v>30</v>
      </c>
      <c r="O43" s="7"/>
      <c r="P43" s="7" t="s">
        <v>361</v>
      </c>
      <c r="Q43" s="7" t="s">
        <v>30</v>
      </c>
      <c r="R43" s="7"/>
      <c r="S43" s="23" t="s">
        <v>511</v>
      </c>
    </row>
    <row r="44" customFormat="false" ht="15" hidden="false" customHeight="false" outlineLevel="0" collapsed="false">
      <c r="A44" s="19" t="s">
        <v>512</v>
      </c>
      <c r="B44" s="19" t="s">
        <v>184</v>
      </c>
      <c r="C44" s="19" t="s">
        <v>185</v>
      </c>
      <c r="D44" s="19" t="s">
        <v>140</v>
      </c>
      <c r="E44" s="20" t="n">
        <v>9500000</v>
      </c>
      <c r="F44" s="20" t="n">
        <v>2189200000</v>
      </c>
      <c r="G44" s="21" t="n">
        <f aca="false">IFERROR(E44/F44,"")</f>
        <v>0.00433948474328522</v>
      </c>
      <c r="H44" s="19" t="s">
        <v>356</v>
      </c>
      <c r="I44" s="19" t="s">
        <v>513</v>
      </c>
      <c r="J44" s="19" t="s">
        <v>358</v>
      </c>
      <c r="K44" s="19" t="s">
        <v>366</v>
      </c>
      <c r="L44" s="19" t="s">
        <v>460</v>
      </c>
      <c r="M44" s="19"/>
      <c r="N44" s="19" t="s">
        <v>30</v>
      </c>
      <c r="O44" s="19"/>
      <c r="P44" s="19" t="s">
        <v>361</v>
      </c>
      <c r="Q44" s="19" t="s">
        <v>30</v>
      </c>
      <c r="R44" s="19"/>
      <c r="S44" s="22" t="s">
        <v>514</v>
      </c>
    </row>
    <row r="45" customFormat="false" ht="15" hidden="false" customHeight="false" outlineLevel="0" collapsed="false">
      <c r="A45" s="7" t="s">
        <v>515</v>
      </c>
      <c r="B45" s="7" t="s">
        <v>244</v>
      </c>
      <c r="C45" s="7" t="s">
        <v>57</v>
      </c>
      <c r="D45" s="7" t="s">
        <v>162</v>
      </c>
      <c r="E45" s="8" t="n">
        <v>16700000</v>
      </c>
      <c r="F45" s="8" t="n">
        <v>4720000000</v>
      </c>
      <c r="G45" s="11" t="n">
        <f aca="false">IFERROR(E45/F45,"")</f>
        <v>0.00353813559322034</v>
      </c>
      <c r="H45" s="7" t="s">
        <v>380</v>
      </c>
      <c r="I45" s="7" t="s">
        <v>516</v>
      </c>
      <c r="J45" s="7" t="s">
        <v>358</v>
      </c>
      <c r="K45" s="7" t="s">
        <v>359</v>
      </c>
      <c r="L45" s="7" t="s">
        <v>377</v>
      </c>
      <c r="M45" s="7"/>
      <c r="N45" s="7" t="s">
        <v>30</v>
      </c>
      <c r="O45" s="7"/>
      <c r="P45" s="7" t="s">
        <v>361</v>
      </c>
      <c r="Q45" s="7" t="s">
        <v>30</v>
      </c>
      <c r="R45" s="7"/>
      <c r="S45" s="23" t="s">
        <v>517</v>
      </c>
    </row>
    <row r="46" customFormat="false" ht="15" hidden="false" customHeight="false" outlineLevel="0" collapsed="false">
      <c r="A46" s="19" t="s">
        <v>518</v>
      </c>
      <c r="B46" s="19" t="s">
        <v>156</v>
      </c>
      <c r="C46" s="19" t="s">
        <v>29</v>
      </c>
      <c r="D46" s="19" t="s">
        <v>140</v>
      </c>
      <c r="E46" s="20" t="n">
        <v>3000000</v>
      </c>
      <c r="F46" s="20" t="n">
        <v>851671600</v>
      </c>
      <c r="G46" s="21" t="n">
        <f aca="false">IFERROR(E46/F46,"")</f>
        <v>0.00352248448815248</v>
      </c>
      <c r="H46" s="19" t="s">
        <v>364</v>
      </c>
      <c r="I46" s="19" t="s">
        <v>519</v>
      </c>
      <c r="J46" s="19" t="s">
        <v>358</v>
      </c>
      <c r="K46" s="19" t="s">
        <v>359</v>
      </c>
      <c r="L46" s="19" t="s">
        <v>360</v>
      </c>
      <c r="M46" s="19"/>
      <c r="N46" s="19" t="s">
        <v>30</v>
      </c>
      <c r="O46" s="19"/>
      <c r="P46" s="19" t="s">
        <v>361</v>
      </c>
      <c r="Q46" s="19" t="s">
        <v>30</v>
      </c>
      <c r="R46" s="19"/>
      <c r="S46" s="22" t="s">
        <v>520</v>
      </c>
    </row>
    <row r="47" customFormat="false" ht="15" hidden="false" customHeight="false" outlineLevel="0" collapsed="false">
      <c r="A47" s="7" t="s">
        <v>521</v>
      </c>
      <c r="B47" s="7" t="s">
        <v>177</v>
      </c>
      <c r="C47" s="7" t="s">
        <v>178</v>
      </c>
      <c r="D47" s="7" t="s">
        <v>409</v>
      </c>
      <c r="E47" s="8" t="n">
        <v>27000000</v>
      </c>
      <c r="F47" s="8" t="n">
        <v>9240000000</v>
      </c>
      <c r="G47" s="11" t="n">
        <f aca="false">IFERROR(E47/F47,"")</f>
        <v>0.00292207792207792</v>
      </c>
      <c r="H47" s="7" t="s">
        <v>380</v>
      </c>
      <c r="I47" s="7" t="s">
        <v>468</v>
      </c>
      <c r="J47" s="7" t="s">
        <v>358</v>
      </c>
      <c r="K47" s="7" t="s">
        <v>400</v>
      </c>
      <c r="L47" s="7" t="s">
        <v>429</v>
      </c>
      <c r="M47" s="7" t="s">
        <v>132</v>
      </c>
      <c r="N47" s="7" t="s">
        <v>141</v>
      </c>
      <c r="O47" s="7" t="s">
        <v>179</v>
      </c>
      <c r="P47" s="7" t="s">
        <v>361</v>
      </c>
      <c r="Q47" s="7" t="s">
        <v>36</v>
      </c>
      <c r="R47" s="7"/>
      <c r="S47" s="23" t="s">
        <v>522</v>
      </c>
    </row>
    <row r="48" customFormat="false" ht="15" hidden="false" customHeight="false" outlineLevel="0" collapsed="false">
      <c r="A48" s="19" t="s">
        <v>523</v>
      </c>
      <c r="B48" s="19" t="s">
        <v>224</v>
      </c>
      <c r="C48" s="19" t="s">
        <v>204</v>
      </c>
      <c r="D48" s="19" t="s">
        <v>162</v>
      </c>
      <c r="E48" s="20" t="n">
        <v>35258708</v>
      </c>
      <c r="F48" s="20" t="n">
        <v>12086590000</v>
      </c>
      <c r="G48" s="21" t="n">
        <f aca="false">IFERROR(E48/F48,"")</f>
        <v>0.00291717581220179</v>
      </c>
      <c r="H48" s="19" t="s">
        <v>480</v>
      </c>
      <c r="I48" s="19" t="s">
        <v>494</v>
      </c>
      <c r="J48" s="19" t="s">
        <v>358</v>
      </c>
      <c r="K48" s="19" t="s">
        <v>359</v>
      </c>
      <c r="L48" s="19" t="s">
        <v>524</v>
      </c>
      <c r="M48" s="19"/>
      <c r="N48" s="19" t="s">
        <v>30</v>
      </c>
      <c r="O48" s="19"/>
      <c r="P48" s="19" t="s">
        <v>361</v>
      </c>
      <c r="Q48" s="19" t="s">
        <v>30</v>
      </c>
      <c r="R48" s="19"/>
      <c r="S48" s="22" t="s">
        <v>525</v>
      </c>
    </row>
    <row r="49" customFormat="false" ht="15" hidden="false" customHeight="false" outlineLevel="0" collapsed="false">
      <c r="A49" s="7" t="s">
        <v>526</v>
      </c>
      <c r="B49" s="7" t="s">
        <v>306</v>
      </c>
      <c r="C49" s="7" t="s">
        <v>113</v>
      </c>
      <c r="D49" s="7" t="s">
        <v>162</v>
      </c>
      <c r="E49" s="8" t="n">
        <v>147800</v>
      </c>
      <c r="F49" s="8" t="n">
        <v>50668800</v>
      </c>
      <c r="G49" s="11" t="n">
        <f aca="false">IFERROR(E49/F49,"")</f>
        <v>0.00291698244284451</v>
      </c>
      <c r="H49" s="7" t="s">
        <v>527</v>
      </c>
      <c r="I49" s="7" t="s">
        <v>371</v>
      </c>
      <c r="J49" s="7" t="s">
        <v>358</v>
      </c>
      <c r="K49" s="7" t="s">
        <v>372</v>
      </c>
      <c r="L49" s="7" t="s">
        <v>373</v>
      </c>
      <c r="M49" s="7"/>
      <c r="N49" s="7" t="s">
        <v>30</v>
      </c>
      <c r="O49" s="7"/>
      <c r="P49" s="7" t="s">
        <v>361</v>
      </c>
      <c r="Q49" s="7" t="s">
        <v>30</v>
      </c>
      <c r="R49" s="7"/>
      <c r="S49" s="23" t="s">
        <v>528</v>
      </c>
    </row>
    <row r="50" customFormat="false" ht="15" hidden="false" customHeight="false" outlineLevel="0" collapsed="false">
      <c r="A50" s="19" t="s">
        <v>529</v>
      </c>
      <c r="B50" s="19" t="s">
        <v>290</v>
      </c>
      <c r="C50" s="19" t="s">
        <v>108</v>
      </c>
      <c r="D50" s="19" t="s">
        <v>132</v>
      </c>
      <c r="E50" s="20" t="n">
        <v>440000</v>
      </c>
      <c r="F50" s="20" t="n">
        <v>167500000</v>
      </c>
      <c r="G50" s="21" t="n">
        <f aca="false">IFERROR(E50/F50,"")</f>
        <v>0.00262686567164179</v>
      </c>
      <c r="H50" s="19" t="s">
        <v>364</v>
      </c>
      <c r="I50" s="19" t="s">
        <v>385</v>
      </c>
      <c r="J50" s="19" t="s">
        <v>386</v>
      </c>
      <c r="K50" s="19" t="s">
        <v>387</v>
      </c>
      <c r="L50" s="19" t="s">
        <v>367</v>
      </c>
      <c r="M50" s="19" t="s">
        <v>291</v>
      </c>
      <c r="N50" s="19" t="s">
        <v>145</v>
      </c>
      <c r="O50" s="19" t="s">
        <v>205</v>
      </c>
      <c r="P50" s="19" t="s">
        <v>361</v>
      </c>
      <c r="Q50" s="19" t="s">
        <v>36</v>
      </c>
      <c r="R50" s="19"/>
      <c r="S50" s="22" t="s">
        <v>530</v>
      </c>
    </row>
    <row r="51" customFormat="false" ht="15" hidden="false" customHeight="false" outlineLevel="0" collapsed="false">
      <c r="A51" s="7" t="s">
        <v>531</v>
      </c>
      <c r="B51" s="7" t="s">
        <v>532</v>
      </c>
      <c r="C51" s="7" t="s">
        <v>178</v>
      </c>
      <c r="D51" s="7" t="s">
        <v>301</v>
      </c>
      <c r="E51" s="8" t="n">
        <v>125000000</v>
      </c>
      <c r="F51" s="8" t="n">
        <v>48400000000</v>
      </c>
      <c r="G51" s="11" t="n">
        <f aca="false">IFERROR(E51/F51,"")</f>
        <v>0.00258264462809917</v>
      </c>
      <c r="H51" s="7" t="s">
        <v>380</v>
      </c>
      <c r="I51" s="7"/>
      <c r="J51" s="7" t="s">
        <v>358</v>
      </c>
      <c r="K51" s="7" t="s">
        <v>359</v>
      </c>
      <c r="L51" s="7" t="s">
        <v>429</v>
      </c>
      <c r="M51" s="7"/>
      <c r="N51" s="7" t="s">
        <v>30</v>
      </c>
      <c r="O51" s="7"/>
      <c r="P51" s="7" t="s">
        <v>361</v>
      </c>
      <c r="Q51" s="7" t="s">
        <v>30</v>
      </c>
      <c r="R51" s="7" t="s">
        <v>533</v>
      </c>
      <c r="S51" s="23" t="s">
        <v>534</v>
      </c>
    </row>
    <row r="52" customFormat="false" ht="15" hidden="false" customHeight="false" outlineLevel="0" collapsed="false">
      <c r="A52" s="19" t="s">
        <v>535</v>
      </c>
      <c r="B52" s="19" t="s">
        <v>235</v>
      </c>
      <c r="C52" s="19" t="s">
        <v>236</v>
      </c>
      <c r="D52" s="19" t="s">
        <v>162</v>
      </c>
      <c r="E52" s="20" t="n">
        <v>20450000</v>
      </c>
      <c r="F52" s="20" t="n">
        <v>8640000000</v>
      </c>
      <c r="G52" s="21" t="n">
        <f aca="false">IFERROR(E52/F52,"")</f>
        <v>0.00236689814814815</v>
      </c>
      <c r="H52" s="19" t="s">
        <v>527</v>
      </c>
      <c r="I52" s="19" t="s">
        <v>414</v>
      </c>
      <c r="J52" s="19" t="s">
        <v>386</v>
      </c>
      <c r="K52" s="19" t="s">
        <v>400</v>
      </c>
      <c r="L52" s="19" t="s">
        <v>469</v>
      </c>
      <c r="M52" s="19"/>
      <c r="N52" s="19" t="s">
        <v>30</v>
      </c>
      <c r="O52" s="19"/>
      <c r="P52" s="19" t="s">
        <v>361</v>
      </c>
      <c r="Q52" s="19" t="s">
        <v>30</v>
      </c>
      <c r="R52" s="19"/>
      <c r="S52" s="22" t="s">
        <v>536</v>
      </c>
    </row>
    <row r="53" customFormat="false" ht="15" hidden="false" customHeight="false" outlineLevel="0" collapsed="false">
      <c r="A53" s="7" t="s">
        <v>537</v>
      </c>
      <c r="B53" s="7" t="s">
        <v>279</v>
      </c>
      <c r="C53" s="7" t="s">
        <v>88</v>
      </c>
      <c r="D53" s="7" t="s">
        <v>132</v>
      </c>
      <c r="E53" s="8" t="n">
        <v>900000</v>
      </c>
      <c r="F53" s="8" t="n">
        <v>414200000</v>
      </c>
      <c r="G53" s="11" t="n">
        <f aca="false">IFERROR(E53/F53,"")</f>
        <v>0.00217286335103815</v>
      </c>
      <c r="H53" s="7" t="s">
        <v>370</v>
      </c>
      <c r="I53" s="7" t="s">
        <v>538</v>
      </c>
      <c r="J53" s="7" t="s">
        <v>358</v>
      </c>
      <c r="K53" s="7" t="s">
        <v>366</v>
      </c>
      <c r="L53" s="7" t="s">
        <v>382</v>
      </c>
      <c r="M53" s="7" t="s">
        <v>132</v>
      </c>
      <c r="N53" s="7" t="s">
        <v>133</v>
      </c>
      <c r="O53" s="7" t="s">
        <v>280</v>
      </c>
      <c r="P53" s="7" t="s">
        <v>361</v>
      </c>
      <c r="Q53" s="7" t="s">
        <v>36</v>
      </c>
      <c r="R53" s="7"/>
      <c r="S53" s="23" t="s">
        <v>539</v>
      </c>
    </row>
    <row r="54" customFormat="false" ht="15" hidden="false" customHeight="false" outlineLevel="0" collapsed="false">
      <c r="A54" s="19" t="s">
        <v>540</v>
      </c>
      <c r="B54" s="19" t="s">
        <v>38</v>
      </c>
      <c r="C54" s="19" t="s">
        <v>541</v>
      </c>
      <c r="D54" s="19" t="s">
        <v>140</v>
      </c>
      <c r="E54" s="20" t="n">
        <v>4000000</v>
      </c>
      <c r="F54" s="20" t="n">
        <v>1878000000</v>
      </c>
      <c r="G54" s="21" t="n">
        <f aca="false">IFERROR(E54/F54,"")</f>
        <v>0.00212992545260916</v>
      </c>
      <c r="H54" s="19" t="s">
        <v>364</v>
      </c>
      <c r="I54" s="19" t="s">
        <v>468</v>
      </c>
      <c r="J54" s="19" t="s">
        <v>358</v>
      </c>
      <c r="K54" s="19" t="s">
        <v>400</v>
      </c>
      <c r="L54" s="19"/>
      <c r="M54" s="19"/>
      <c r="N54" s="19" t="s">
        <v>30</v>
      </c>
      <c r="O54" s="19"/>
      <c r="P54" s="19" t="s">
        <v>542</v>
      </c>
      <c r="Q54" s="19" t="s">
        <v>30</v>
      </c>
      <c r="R54" s="19"/>
      <c r="S54" s="22" t="s">
        <v>543</v>
      </c>
    </row>
    <row r="55" customFormat="false" ht="15" hidden="false" customHeight="false" outlineLevel="0" collapsed="false">
      <c r="A55" s="7" t="s">
        <v>544</v>
      </c>
      <c r="B55" s="7" t="s">
        <v>83</v>
      </c>
      <c r="C55" s="7" t="s">
        <v>57</v>
      </c>
      <c r="D55" s="7" t="s">
        <v>162</v>
      </c>
      <c r="E55" s="8" t="n">
        <v>12251601</v>
      </c>
      <c r="F55" s="8" t="n">
        <v>5790000000</v>
      </c>
      <c r="G55" s="11" t="n">
        <f aca="false">IFERROR(E55/F55,"")</f>
        <v>0.0021159932642487</v>
      </c>
      <c r="H55" s="7" t="s">
        <v>380</v>
      </c>
      <c r="I55" s="7" t="s">
        <v>545</v>
      </c>
      <c r="J55" s="7" t="s">
        <v>358</v>
      </c>
      <c r="K55" s="7" t="s">
        <v>372</v>
      </c>
      <c r="L55" s="7" t="s">
        <v>377</v>
      </c>
      <c r="M55" s="7"/>
      <c r="N55" s="7" t="s">
        <v>30</v>
      </c>
      <c r="O55" s="7"/>
      <c r="P55" s="7" t="s">
        <v>361</v>
      </c>
      <c r="Q55" s="7" t="s">
        <v>30</v>
      </c>
      <c r="R55" s="7"/>
      <c r="S55" s="23" t="s">
        <v>546</v>
      </c>
    </row>
    <row r="56" customFormat="false" ht="15" hidden="false" customHeight="false" outlineLevel="0" collapsed="false">
      <c r="A56" s="19" t="s">
        <v>547</v>
      </c>
      <c r="B56" s="19" t="s">
        <v>28</v>
      </c>
      <c r="C56" s="19" t="s">
        <v>29</v>
      </c>
      <c r="D56" s="19" t="s">
        <v>140</v>
      </c>
      <c r="E56" s="20" t="n">
        <v>8150000</v>
      </c>
      <c r="F56" s="20" t="n">
        <v>4000000000</v>
      </c>
      <c r="G56" s="21" t="n">
        <f aca="false">IFERROR(E56/F56,"")</f>
        <v>0.0020375</v>
      </c>
      <c r="H56" s="19" t="s">
        <v>380</v>
      </c>
      <c r="I56" s="19" t="s">
        <v>548</v>
      </c>
      <c r="J56" s="19" t="s">
        <v>358</v>
      </c>
      <c r="K56" s="19" t="s">
        <v>366</v>
      </c>
      <c r="L56" s="19" t="s">
        <v>360</v>
      </c>
      <c r="M56" s="19"/>
      <c r="N56" s="19" t="s">
        <v>30</v>
      </c>
      <c r="O56" s="19"/>
      <c r="P56" s="19" t="s">
        <v>361</v>
      </c>
      <c r="Q56" s="19" t="s">
        <v>30</v>
      </c>
      <c r="R56" s="19"/>
      <c r="S56" s="22" t="s">
        <v>549</v>
      </c>
    </row>
    <row r="57" customFormat="false" ht="15" hidden="false" customHeight="false" outlineLevel="0" collapsed="false">
      <c r="A57" s="7" t="s">
        <v>550</v>
      </c>
      <c r="B57" s="7" t="s">
        <v>325</v>
      </c>
      <c r="C57" s="7" t="s">
        <v>57</v>
      </c>
      <c r="D57" s="7" t="s">
        <v>162</v>
      </c>
      <c r="E57" s="8" t="n">
        <v>20000</v>
      </c>
      <c r="F57" s="8" t="n">
        <v>9844800</v>
      </c>
      <c r="G57" s="11" t="n">
        <f aca="false">IFERROR(E57/F57,"")</f>
        <v>0.0020315293352836</v>
      </c>
      <c r="H57" s="7" t="s">
        <v>480</v>
      </c>
      <c r="I57" s="7" t="s">
        <v>551</v>
      </c>
      <c r="J57" s="7" t="s">
        <v>358</v>
      </c>
      <c r="K57" s="7" t="s">
        <v>372</v>
      </c>
      <c r="L57" s="7" t="s">
        <v>377</v>
      </c>
      <c r="M57" s="7"/>
      <c r="N57" s="7" t="s">
        <v>30</v>
      </c>
      <c r="O57" s="7"/>
      <c r="P57" s="7" t="s">
        <v>361</v>
      </c>
      <c r="Q57" s="7" t="s">
        <v>30</v>
      </c>
      <c r="R57" s="7"/>
      <c r="S57" s="23" t="s">
        <v>552</v>
      </c>
    </row>
    <row r="58" customFormat="false" ht="15" hidden="false" customHeight="false" outlineLevel="0" collapsed="false">
      <c r="A58" s="19" t="s">
        <v>553</v>
      </c>
      <c r="B58" s="19" t="s">
        <v>277</v>
      </c>
      <c r="C58" s="19" t="s">
        <v>204</v>
      </c>
      <c r="D58" s="19" t="s">
        <v>162</v>
      </c>
      <c r="E58" s="20" t="n">
        <v>1240000</v>
      </c>
      <c r="F58" s="20" t="n">
        <v>611949600</v>
      </c>
      <c r="G58" s="21" t="n">
        <f aca="false">IFERROR(E58/F58,"")</f>
        <v>0.00202631066349255</v>
      </c>
      <c r="H58" s="19" t="s">
        <v>364</v>
      </c>
      <c r="I58" s="19" t="s">
        <v>554</v>
      </c>
      <c r="J58" s="19" t="s">
        <v>358</v>
      </c>
      <c r="K58" s="19" t="s">
        <v>400</v>
      </c>
      <c r="L58" s="19" t="s">
        <v>500</v>
      </c>
      <c r="M58" s="19"/>
      <c r="N58" s="19" t="s">
        <v>30</v>
      </c>
      <c r="O58" s="19"/>
      <c r="P58" s="19" t="s">
        <v>361</v>
      </c>
      <c r="Q58" s="19" t="s">
        <v>30</v>
      </c>
      <c r="R58" s="19"/>
      <c r="S58" s="22" t="s">
        <v>555</v>
      </c>
    </row>
    <row r="59" customFormat="false" ht="15" hidden="false" customHeight="false" outlineLevel="0" collapsed="false">
      <c r="A59" s="7" t="s">
        <v>556</v>
      </c>
      <c r="B59" s="7" t="s">
        <v>256</v>
      </c>
      <c r="C59" s="7" t="s">
        <v>60</v>
      </c>
      <c r="D59" s="7" t="s">
        <v>291</v>
      </c>
      <c r="E59" s="8" t="n">
        <v>6000000</v>
      </c>
      <c r="F59" s="8" t="n">
        <v>3000000000</v>
      </c>
      <c r="G59" s="11" t="n">
        <f aca="false">IFERROR(E59/F59,"")</f>
        <v>0.002</v>
      </c>
      <c r="H59" s="7" t="s">
        <v>380</v>
      </c>
      <c r="I59" s="7" t="s">
        <v>557</v>
      </c>
      <c r="J59" s="7" t="s">
        <v>358</v>
      </c>
      <c r="K59" s="7" t="s">
        <v>400</v>
      </c>
      <c r="L59" s="7" t="s">
        <v>558</v>
      </c>
      <c r="M59" s="7"/>
      <c r="N59" s="7" t="s">
        <v>30</v>
      </c>
      <c r="O59" s="7"/>
      <c r="P59" s="7" t="s">
        <v>361</v>
      </c>
      <c r="Q59" s="7" t="s">
        <v>30</v>
      </c>
      <c r="R59" s="7"/>
      <c r="S59" s="23" t="s">
        <v>559</v>
      </c>
    </row>
    <row r="60" customFormat="false" ht="15" hidden="false" customHeight="false" outlineLevel="0" collapsed="false">
      <c r="A60" s="19" t="s">
        <v>560</v>
      </c>
      <c r="B60" s="19" t="s">
        <v>293</v>
      </c>
      <c r="C60" s="19" t="s">
        <v>105</v>
      </c>
      <c r="D60" s="19" t="s">
        <v>162</v>
      </c>
      <c r="E60" s="20" t="n">
        <v>288000</v>
      </c>
      <c r="F60" s="20" t="n">
        <v>147796800</v>
      </c>
      <c r="G60" s="21" t="n">
        <f aca="false">IFERROR(E60/F60,"")</f>
        <v>0.0019486213503946</v>
      </c>
      <c r="H60" s="19" t="s">
        <v>380</v>
      </c>
      <c r="I60" s="19" t="s">
        <v>468</v>
      </c>
      <c r="J60" s="19" t="s">
        <v>358</v>
      </c>
      <c r="K60" s="19" t="s">
        <v>400</v>
      </c>
      <c r="L60" s="19" t="s">
        <v>401</v>
      </c>
      <c r="M60" s="19"/>
      <c r="N60" s="19" t="s">
        <v>30</v>
      </c>
      <c r="O60" s="19"/>
      <c r="P60" s="19" t="s">
        <v>361</v>
      </c>
      <c r="Q60" s="19" t="s">
        <v>30</v>
      </c>
      <c r="R60" s="19"/>
      <c r="S60" s="22" t="s">
        <v>561</v>
      </c>
    </row>
    <row r="61" customFormat="false" ht="15" hidden="false" customHeight="false" outlineLevel="0" collapsed="false">
      <c r="A61" s="7" t="s">
        <v>562</v>
      </c>
      <c r="B61" s="7" t="s">
        <v>295</v>
      </c>
      <c r="C61" s="7" t="s">
        <v>97</v>
      </c>
      <c r="D61" s="7" t="s">
        <v>162</v>
      </c>
      <c r="E61" s="8" t="n">
        <v>235300</v>
      </c>
      <c r="F61" s="8" t="n">
        <v>133446800</v>
      </c>
      <c r="G61" s="11" t="n">
        <f aca="false">IFERROR(E61/F61,"")</f>
        <v>0.00176324947469703</v>
      </c>
      <c r="H61" s="7" t="s">
        <v>364</v>
      </c>
      <c r="I61" s="7" t="s">
        <v>421</v>
      </c>
      <c r="J61" s="7" t="s">
        <v>358</v>
      </c>
      <c r="K61" s="7" t="s">
        <v>400</v>
      </c>
      <c r="L61" s="7" t="s">
        <v>422</v>
      </c>
      <c r="M61" s="7"/>
      <c r="N61" s="7" t="s">
        <v>30</v>
      </c>
      <c r="O61" s="7"/>
      <c r="P61" s="7" t="s">
        <v>361</v>
      </c>
      <c r="Q61" s="7" t="s">
        <v>30</v>
      </c>
      <c r="R61" s="7"/>
      <c r="S61" s="23" t="s">
        <v>563</v>
      </c>
    </row>
    <row r="62" customFormat="false" ht="15" hidden="false" customHeight="false" outlineLevel="0" collapsed="false">
      <c r="A62" s="19" t="s">
        <v>564</v>
      </c>
      <c r="B62" s="19" t="s">
        <v>190</v>
      </c>
      <c r="C62" s="19" t="s">
        <v>57</v>
      </c>
      <c r="D62" s="19" t="s">
        <v>137</v>
      </c>
      <c r="E62" s="20" t="n">
        <v>1000000</v>
      </c>
      <c r="F62" s="20" t="n">
        <v>581000000</v>
      </c>
      <c r="G62" s="21" t="n">
        <f aca="false">IFERROR(E62/F62,"")</f>
        <v>0.00172117039586919</v>
      </c>
      <c r="H62" s="19" t="s">
        <v>380</v>
      </c>
      <c r="I62" s="19" t="s">
        <v>565</v>
      </c>
      <c r="J62" s="19" t="s">
        <v>358</v>
      </c>
      <c r="K62" s="19" t="s">
        <v>372</v>
      </c>
      <c r="L62" s="19" t="s">
        <v>377</v>
      </c>
      <c r="M62" s="19"/>
      <c r="N62" s="19" t="s">
        <v>30</v>
      </c>
      <c r="O62" s="19"/>
      <c r="P62" s="19" t="s">
        <v>361</v>
      </c>
      <c r="Q62" s="19" t="s">
        <v>30</v>
      </c>
      <c r="R62" s="19"/>
      <c r="S62" s="22" t="s">
        <v>566</v>
      </c>
    </row>
    <row r="63" customFormat="false" ht="15" hidden="false" customHeight="false" outlineLevel="0" collapsed="false">
      <c r="A63" s="7" t="s">
        <v>567</v>
      </c>
      <c r="B63" s="7" t="s">
        <v>234</v>
      </c>
      <c r="C63" s="7" t="s">
        <v>178</v>
      </c>
      <c r="D63" s="7" t="s">
        <v>409</v>
      </c>
      <c r="E63" s="8" t="n">
        <v>15000000</v>
      </c>
      <c r="F63" s="8" t="n">
        <v>9240000000</v>
      </c>
      <c r="G63" s="11" t="n">
        <f aca="false">IFERROR(E63/F63,"")</f>
        <v>0.00162337662337662</v>
      </c>
      <c r="H63" s="7" t="s">
        <v>380</v>
      </c>
      <c r="I63" s="7" t="s">
        <v>568</v>
      </c>
      <c r="J63" s="7" t="s">
        <v>386</v>
      </c>
      <c r="K63" s="7" t="s">
        <v>400</v>
      </c>
      <c r="L63" s="7" t="s">
        <v>429</v>
      </c>
      <c r="M63" s="7" t="s">
        <v>132</v>
      </c>
      <c r="N63" s="7" t="s">
        <v>141</v>
      </c>
      <c r="O63" s="7" t="s">
        <v>179</v>
      </c>
      <c r="P63" s="7" t="s">
        <v>361</v>
      </c>
      <c r="Q63" s="7" t="s">
        <v>36</v>
      </c>
      <c r="R63" s="7"/>
      <c r="S63" s="23" t="s">
        <v>569</v>
      </c>
    </row>
    <row r="64" customFormat="false" ht="15" hidden="false" customHeight="false" outlineLevel="0" collapsed="false">
      <c r="A64" s="19" t="s">
        <v>570</v>
      </c>
      <c r="B64" s="19" t="s">
        <v>318</v>
      </c>
      <c r="C64" s="19" t="s">
        <v>571</v>
      </c>
      <c r="D64" s="19" t="s">
        <v>223</v>
      </c>
      <c r="E64" s="20" t="n">
        <v>20000</v>
      </c>
      <c r="F64" s="20" t="n">
        <v>12554587</v>
      </c>
      <c r="G64" s="21" t="n">
        <f aca="false">IFERROR(E64/F64,"")</f>
        <v>0.00159304324387572</v>
      </c>
      <c r="H64" s="19" t="s">
        <v>356</v>
      </c>
      <c r="I64" s="19" t="s">
        <v>572</v>
      </c>
      <c r="J64" s="19" t="s">
        <v>386</v>
      </c>
      <c r="K64" s="19" t="s">
        <v>405</v>
      </c>
      <c r="L64" s="19"/>
      <c r="M64" s="19" t="s">
        <v>132</v>
      </c>
      <c r="N64" s="19" t="s">
        <v>133</v>
      </c>
      <c r="O64" s="19" t="s">
        <v>319</v>
      </c>
      <c r="P64" s="19" t="s">
        <v>573</v>
      </c>
      <c r="Q64" s="19" t="s">
        <v>165</v>
      </c>
      <c r="R64" s="19"/>
      <c r="S64" s="22" t="s">
        <v>574</v>
      </c>
    </row>
    <row r="65" customFormat="false" ht="15" hidden="false" customHeight="false" outlineLevel="0" collapsed="false">
      <c r="A65" s="7" t="s">
        <v>575</v>
      </c>
      <c r="B65" s="7" t="s">
        <v>219</v>
      </c>
      <c r="C65" s="7" t="s">
        <v>57</v>
      </c>
      <c r="D65" s="7" t="s">
        <v>162</v>
      </c>
      <c r="E65" s="8" t="n">
        <v>27800000</v>
      </c>
      <c r="F65" s="8" t="n">
        <v>17970000000</v>
      </c>
      <c r="G65" s="11" t="n">
        <f aca="false">IFERROR(E65/F65,"")</f>
        <v>0.00154702281580412</v>
      </c>
      <c r="H65" s="7" t="s">
        <v>380</v>
      </c>
      <c r="I65" s="7" t="s">
        <v>576</v>
      </c>
      <c r="J65" s="7" t="s">
        <v>358</v>
      </c>
      <c r="K65" s="7" t="s">
        <v>359</v>
      </c>
      <c r="L65" s="7" t="s">
        <v>377</v>
      </c>
      <c r="M65" s="7"/>
      <c r="N65" s="7" t="s">
        <v>30</v>
      </c>
      <c r="O65" s="7"/>
      <c r="P65" s="7" t="s">
        <v>361</v>
      </c>
      <c r="Q65" s="7" t="s">
        <v>30</v>
      </c>
      <c r="R65" s="7"/>
      <c r="S65" s="23" t="s">
        <v>577</v>
      </c>
    </row>
    <row r="66" customFormat="false" ht="15" hidden="false" customHeight="false" outlineLevel="0" collapsed="false">
      <c r="A66" s="19" t="s">
        <v>578</v>
      </c>
      <c r="B66" s="19" t="s">
        <v>209</v>
      </c>
      <c r="C66" s="19" t="s">
        <v>178</v>
      </c>
      <c r="D66" s="19" t="s">
        <v>140</v>
      </c>
      <c r="E66" s="20" t="n">
        <v>60000000</v>
      </c>
      <c r="F66" s="20" t="n">
        <v>40000000000</v>
      </c>
      <c r="G66" s="21" t="n">
        <f aca="false">IFERROR(E66/F66,"")</f>
        <v>0.0015</v>
      </c>
      <c r="H66" s="19" t="s">
        <v>380</v>
      </c>
      <c r="I66" s="19"/>
      <c r="J66" s="19" t="s">
        <v>358</v>
      </c>
      <c r="K66" s="19" t="s">
        <v>359</v>
      </c>
      <c r="L66" s="19" t="s">
        <v>429</v>
      </c>
      <c r="M66" s="19"/>
      <c r="N66" s="19" t="s">
        <v>30</v>
      </c>
      <c r="O66" s="19"/>
      <c r="P66" s="19" t="s">
        <v>361</v>
      </c>
      <c r="Q66" s="19" t="s">
        <v>30</v>
      </c>
      <c r="R66" s="19" t="s">
        <v>533</v>
      </c>
      <c r="S66" s="22" t="s">
        <v>579</v>
      </c>
    </row>
    <row r="67" customFormat="false" ht="15" hidden="false" customHeight="false" outlineLevel="0" collapsed="false">
      <c r="A67" s="7" t="s">
        <v>580</v>
      </c>
      <c r="B67" s="7" t="s">
        <v>329</v>
      </c>
      <c r="C67" s="7" t="s">
        <v>49</v>
      </c>
      <c r="D67" s="7" t="s">
        <v>291</v>
      </c>
      <c r="E67" s="8" t="n">
        <v>5000</v>
      </c>
      <c r="F67" s="8" t="n">
        <v>3756696</v>
      </c>
      <c r="G67" s="11" t="n">
        <f aca="false">IFERROR(E67/F67,"")</f>
        <v>0.00133095677691248</v>
      </c>
      <c r="H67" s="7" t="s">
        <v>380</v>
      </c>
      <c r="I67" s="7" t="s">
        <v>414</v>
      </c>
      <c r="J67" s="7" t="s">
        <v>386</v>
      </c>
      <c r="K67" s="7" t="s">
        <v>400</v>
      </c>
      <c r="L67" s="7" t="s">
        <v>388</v>
      </c>
      <c r="M67" s="7"/>
      <c r="N67" s="7" t="s">
        <v>30</v>
      </c>
      <c r="O67" s="7"/>
      <c r="P67" s="7" t="s">
        <v>361</v>
      </c>
      <c r="Q67" s="7" t="s">
        <v>30</v>
      </c>
      <c r="R67" s="7"/>
      <c r="S67" s="23" t="s">
        <v>581</v>
      </c>
    </row>
    <row r="68" customFormat="false" ht="15" hidden="false" customHeight="false" outlineLevel="0" collapsed="false">
      <c r="A68" s="19" t="s">
        <v>582</v>
      </c>
      <c r="B68" s="19" t="s">
        <v>149</v>
      </c>
      <c r="C68" s="19" t="s">
        <v>178</v>
      </c>
      <c r="D68" s="19" t="s">
        <v>140</v>
      </c>
      <c r="E68" s="20" t="n">
        <v>60000000</v>
      </c>
      <c r="F68" s="20" t="n">
        <v>48400000000</v>
      </c>
      <c r="G68" s="21" t="n">
        <f aca="false">IFERROR(E68/F68,"")</f>
        <v>0.0012396694214876</v>
      </c>
      <c r="H68" s="19" t="s">
        <v>380</v>
      </c>
      <c r="I68" s="19"/>
      <c r="J68" s="19" t="s">
        <v>358</v>
      </c>
      <c r="K68" s="19" t="s">
        <v>359</v>
      </c>
      <c r="L68" s="19" t="s">
        <v>429</v>
      </c>
      <c r="M68" s="19"/>
      <c r="N68" s="19" t="s">
        <v>30</v>
      </c>
      <c r="O68" s="19"/>
      <c r="P68" s="19" t="s">
        <v>361</v>
      </c>
      <c r="Q68" s="19" t="s">
        <v>30</v>
      </c>
      <c r="R68" s="19" t="s">
        <v>533</v>
      </c>
      <c r="S68" s="22" t="s">
        <v>583</v>
      </c>
    </row>
    <row r="69" customFormat="false" ht="15" hidden="false" customHeight="false" outlineLevel="0" collapsed="false">
      <c r="A69" s="7" t="s">
        <v>584</v>
      </c>
      <c r="B69" s="7" t="s">
        <v>308</v>
      </c>
      <c r="C69" s="7" t="s">
        <v>29</v>
      </c>
      <c r="D69" s="7" t="s">
        <v>223</v>
      </c>
      <c r="E69" s="8" t="n">
        <v>60000</v>
      </c>
      <c r="F69" s="8" t="n">
        <v>48675200</v>
      </c>
      <c r="G69" s="11" t="n">
        <f aca="false">IFERROR(E69/F69,"")</f>
        <v>0.00123266057458418</v>
      </c>
      <c r="H69" s="7" t="s">
        <v>380</v>
      </c>
      <c r="I69" s="7" t="s">
        <v>414</v>
      </c>
      <c r="J69" s="7" t="s">
        <v>386</v>
      </c>
      <c r="K69" s="7" t="s">
        <v>400</v>
      </c>
      <c r="L69" s="7" t="s">
        <v>360</v>
      </c>
      <c r="M69" s="7"/>
      <c r="N69" s="7" t="s">
        <v>30</v>
      </c>
      <c r="O69" s="7"/>
      <c r="P69" s="7" t="s">
        <v>361</v>
      </c>
      <c r="Q69" s="7" t="s">
        <v>30</v>
      </c>
      <c r="R69" s="7"/>
      <c r="S69" s="23" t="s">
        <v>585</v>
      </c>
    </row>
    <row r="70" customFormat="false" ht="15" hidden="false" customHeight="false" outlineLevel="0" collapsed="false">
      <c r="A70" s="19" t="s">
        <v>586</v>
      </c>
      <c r="B70" s="19" t="s">
        <v>147</v>
      </c>
      <c r="C70" s="19" t="s">
        <v>178</v>
      </c>
      <c r="D70" s="19" t="s">
        <v>301</v>
      </c>
      <c r="E70" s="20" t="n">
        <v>200000000</v>
      </c>
      <c r="F70" s="20" t="n">
        <v>167154800000</v>
      </c>
      <c r="G70" s="21" t="n">
        <f aca="false">IFERROR(E70/F70,"")</f>
        <v>0.00119649570338393</v>
      </c>
      <c r="H70" s="19" t="s">
        <v>380</v>
      </c>
      <c r="I70" s="19"/>
      <c r="J70" s="19" t="s">
        <v>358</v>
      </c>
      <c r="K70" s="19" t="s">
        <v>359</v>
      </c>
      <c r="L70" s="19" t="s">
        <v>429</v>
      </c>
      <c r="M70" s="19"/>
      <c r="N70" s="19" t="s">
        <v>30</v>
      </c>
      <c r="O70" s="19"/>
      <c r="P70" s="19" t="s">
        <v>361</v>
      </c>
      <c r="Q70" s="19" t="s">
        <v>30</v>
      </c>
      <c r="R70" s="19" t="s">
        <v>533</v>
      </c>
      <c r="S70" s="22" t="s">
        <v>587</v>
      </c>
    </row>
    <row r="71" customFormat="false" ht="15" hidden="false" customHeight="false" outlineLevel="0" collapsed="false">
      <c r="A71" s="7" t="s">
        <v>588</v>
      </c>
      <c r="B71" s="7" t="s">
        <v>28</v>
      </c>
      <c r="C71" s="7" t="s">
        <v>29</v>
      </c>
      <c r="D71" s="7" t="s">
        <v>291</v>
      </c>
      <c r="E71" s="8" t="n">
        <v>3940000</v>
      </c>
      <c r="F71" s="8" t="n">
        <v>3302800000</v>
      </c>
      <c r="G71" s="11" t="n">
        <f aca="false">IFERROR(E71/F71,"")</f>
        <v>0.00119292721327359</v>
      </c>
      <c r="H71" s="7" t="s">
        <v>380</v>
      </c>
      <c r="I71" s="7" t="s">
        <v>371</v>
      </c>
      <c r="J71" s="7" t="s">
        <v>358</v>
      </c>
      <c r="K71" s="7" t="s">
        <v>372</v>
      </c>
      <c r="L71" s="7" t="s">
        <v>360</v>
      </c>
      <c r="M71" s="7"/>
      <c r="N71" s="7" t="s">
        <v>30</v>
      </c>
      <c r="O71" s="7"/>
      <c r="P71" s="7" t="s">
        <v>361</v>
      </c>
      <c r="Q71" s="7" t="s">
        <v>30</v>
      </c>
      <c r="R71" s="7"/>
      <c r="S71" s="23" t="s">
        <v>589</v>
      </c>
    </row>
    <row r="72" customFormat="false" ht="15" hidden="false" customHeight="false" outlineLevel="0" collapsed="false">
      <c r="A72" s="19" t="s">
        <v>590</v>
      </c>
      <c r="B72" s="19" t="s">
        <v>278</v>
      </c>
      <c r="C72" s="19" t="s">
        <v>176</v>
      </c>
      <c r="D72" s="19" t="s">
        <v>223</v>
      </c>
      <c r="E72" s="20" t="n">
        <v>511000</v>
      </c>
      <c r="F72" s="20" t="n">
        <v>450381000</v>
      </c>
      <c r="G72" s="21" t="n">
        <f aca="false">IFERROR(E72/F72,"")</f>
        <v>0.00113459493184659</v>
      </c>
      <c r="H72" s="19" t="s">
        <v>364</v>
      </c>
      <c r="I72" s="19" t="s">
        <v>414</v>
      </c>
      <c r="J72" s="19" t="s">
        <v>386</v>
      </c>
      <c r="K72" s="19" t="s">
        <v>400</v>
      </c>
      <c r="L72" s="19" t="s">
        <v>591</v>
      </c>
      <c r="M72" s="19"/>
      <c r="N72" s="19" t="s">
        <v>30</v>
      </c>
      <c r="O72" s="19"/>
      <c r="P72" s="19" t="s">
        <v>361</v>
      </c>
      <c r="Q72" s="19" t="s">
        <v>30</v>
      </c>
      <c r="R72" s="19"/>
      <c r="S72" s="22" t="s">
        <v>592</v>
      </c>
    </row>
    <row r="73" customFormat="false" ht="15" hidden="false" customHeight="false" outlineLevel="0" collapsed="false">
      <c r="A73" s="7" t="s">
        <v>593</v>
      </c>
      <c r="B73" s="7" t="s">
        <v>182</v>
      </c>
      <c r="C73" s="7" t="s">
        <v>57</v>
      </c>
      <c r="D73" s="7" t="s">
        <v>140</v>
      </c>
      <c r="E73" s="8" t="n">
        <v>3296326</v>
      </c>
      <c r="F73" s="8" t="n">
        <v>3036000000</v>
      </c>
      <c r="G73" s="11" t="n">
        <f aca="false">IFERROR(E73/F73,"")</f>
        <v>0.00108574637681159</v>
      </c>
      <c r="H73" s="7" t="s">
        <v>380</v>
      </c>
      <c r="I73" s="7" t="s">
        <v>594</v>
      </c>
      <c r="J73" s="7" t="s">
        <v>358</v>
      </c>
      <c r="K73" s="7" t="s">
        <v>359</v>
      </c>
      <c r="L73" s="7" t="s">
        <v>377</v>
      </c>
      <c r="M73" s="7"/>
      <c r="N73" s="7" t="s">
        <v>30</v>
      </c>
      <c r="O73" s="7"/>
      <c r="P73" s="7" t="s">
        <v>361</v>
      </c>
      <c r="Q73" s="7" t="s">
        <v>30</v>
      </c>
      <c r="R73" s="7"/>
      <c r="S73" s="23" t="s">
        <v>595</v>
      </c>
    </row>
    <row r="74" customFormat="false" ht="15" hidden="false" customHeight="false" outlineLevel="0" collapsed="false">
      <c r="A74" s="19" t="s">
        <v>596</v>
      </c>
      <c r="B74" s="19" t="s">
        <v>229</v>
      </c>
      <c r="C74" s="19" t="s">
        <v>57</v>
      </c>
      <c r="D74" s="19" t="s">
        <v>132</v>
      </c>
      <c r="E74" s="20" t="n">
        <v>10000000</v>
      </c>
      <c r="F74" s="20" t="n">
        <v>10451000000</v>
      </c>
      <c r="G74" s="21" t="n">
        <f aca="false">IFERROR(E74/F74,"")</f>
        <v>0.000956846234810066</v>
      </c>
      <c r="H74" s="19" t="s">
        <v>356</v>
      </c>
      <c r="I74" s="19" t="s">
        <v>597</v>
      </c>
      <c r="J74" s="19" t="s">
        <v>358</v>
      </c>
      <c r="K74" s="19" t="s">
        <v>372</v>
      </c>
      <c r="L74" s="19" t="s">
        <v>377</v>
      </c>
      <c r="M74" s="19"/>
      <c r="N74" s="19" t="s">
        <v>30</v>
      </c>
      <c r="O74" s="19"/>
      <c r="P74" s="19" t="s">
        <v>361</v>
      </c>
      <c r="Q74" s="19" t="s">
        <v>30</v>
      </c>
      <c r="R74" s="19"/>
      <c r="S74" s="22" t="s">
        <v>598</v>
      </c>
    </row>
    <row r="75" customFormat="false" ht="15" hidden="false" customHeight="false" outlineLevel="0" collapsed="false">
      <c r="A75" s="7" t="s">
        <v>599</v>
      </c>
      <c r="B75" s="7" t="s">
        <v>186</v>
      </c>
      <c r="C75" s="7" t="s">
        <v>29</v>
      </c>
      <c r="D75" s="7" t="s">
        <v>140</v>
      </c>
      <c r="E75" s="8" t="n">
        <v>1500000</v>
      </c>
      <c r="F75" s="8" t="n">
        <v>1642129000</v>
      </c>
      <c r="G75" s="11" t="n">
        <f aca="false">IFERROR(E75/F75,"")</f>
        <v>0.000913448334448755</v>
      </c>
      <c r="H75" s="7" t="s">
        <v>356</v>
      </c>
      <c r="I75" s="7" t="s">
        <v>600</v>
      </c>
      <c r="J75" s="7" t="s">
        <v>358</v>
      </c>
      <c r="K75" s="7" t="s">
        <v>445</v>
      </c>
      <c r="L75" s="7" t="s">
        <v>360</v>
      </c>
      <c r="M75" s="7"/>
      <c r="N75" s="7" t="s">
        <v>30</v>
      </c>
      <c r="O75" s="7"/>
      <c r="P75" s="7" t="s">
        <v>361</v>
      </c>
      <c r="Q75" s="7" t="s">
        <v>30</v>
      </c>
      <c r="R75" s="7"/>
      <c r="S75" s="23" t="s">
        <v>601</v>
      </c>
    </row>
    <row r="76" customFormat="false" ht="15" hidden="false" customHeight="false" outlineLevel="0" collapsed="false">
      <c r="A76" s="19" t="s">
        <v>602</v>
      </c>
      <c r="B76" s="19" t="s">
        <v>250</v>
      </c>
      <c r="C76" s="19" t="s">
        <v>60</v>
      </c>
      <c r="D76" s="19" t="s">
        <v>291</v>
      </c>
      <c r="E76" s="20" t="n">
        <v>3200000</v>
      </c>
      <c r="F76" s="20" t="n">
        <v>3700000000</v>
      </c>
      <c r="G76" s="21" t="n">
        <f aca="false">IFERROR(E76/F76,"")</f>
        <v>0.000864864864864865</v>
      </c>
      <c r="H76" s="19" t="s">
        <v>380</v>
      </c>
      <c r="I76" s="19" t="s">
        <v>414</v>
      </c>
      <c r="J76" s="19" t="s">
        <v>386</v>
      </c>
      <c r="K76" s="19" t="s">
        <v>400</v>
      </c>
      <c r="L76" s="19" t="s">
        <v>558</v>
      </c>
      <c r="M76" s="19"/>
      <c r="N76" s="19" t="s">
        <v>30</v>
      </c>
      <c r="O76" s="19"/>
      <c r="P76" s="19" t="s">
        <v>361</v>
      </c>
      <c r="Q76" s="19" t="s">
        <v>30</v>
      </c>
      <c r="R76" s="19"/>
      <c r="S76" s="22" t="s">
        <v>603</v>
      </c>
    </row>
    <row r="77" customFormat="false" ht="15" hidden="false" customHeight="false" outlineLevel="0" collapsed="false">
      <c r="A77" s="7" t="s">
        <v>604</v>
      </c>
      <c r="B77" s="7" t="s">
        <v>269</v>
      </c>
      <c r="C77" s="7" t="s">
        <v>204</v>
      </c>
      <c r="D77" s="7" t="s">
        <v>140</v>
      </c>
      <c r="E77" s="8" t="n">
        <v>900000</v>
      </c>
      <c r="F77" s="8" t="n">
        <v>1050600000</v>
      </c>
      <c r="G77" s="11" t="n">
        <f aca="false">IFERROR(E77/F77,"")</f>
        <v>0.00085665334094803</v>
      </c>
      <c r="H77" s="7" t="s">
        <v>480</v>
      </c>
      <c r="I77" s="7" t="s">
        <v>494</v>
      </c>
      <c r="J77" s="7" t="s">
        <v>358</v>
      </c>
      <c r="K77" s="7" t="s">
        <v>359</v>
      </c>
      <c r="L77" s="7" t="s">
        <v>605</v>
      </c>
      <c r="M77" s="7"/>
      <c r="N77" s="7" t="s">
        <v>30</v>
      </c>
      <c r="O77" s="7"/>
      <c r="P77" s="7" t="s">
        <v>361</v>
      </c>
      <c r="Q77" s="7" t="s">
        <v>30</v>
      </c>
      <c r="R77" s="7"/>
      <c r="S77" s="23" t="s">
        <v>606</v>
      </c>
    </row>
    <row r="78" customFormat="false" ht="15" hidden="false" customHeight="false" outlineLevel="0" collapsed="false">
      <c r="A78" s="19" t="s">
        <v>607</v>
      </c>
      <c r="B78" s="19" t="s">
        <v>38</v>
      </c>
      <c r="C78" s="19" t="s">
        <v>608</v>
      </c>
      <c r="D78" s="19" t="s">
        <v>301</v>
      </c>
      <c r="E78" s="20" t="n">
        <v>1500000</v>
      </c>
      <c r="F78" s="20" t="n">
        <v>1878000000</v>
      </c>
      <c r="G78" s="21" t="n">
        <f aca="false">IFERROR(E78/F78,"")</f>
        <v>0.000798722044728435</v>
      </c>
      <c r="H78" s="19" t="s">
        <v>364</v>
      </c>
      <c r="I78" s="19" t="s">
        <v>609</v>
      </c>
      <c r="J78" s="19" t="s">
        <v>358</v>
      </c>
      <c r="K78" s="19" t="s">
        <v>372</v>
      </c>
      <c r="L78" s="19" t="s">
        <v>610</v>
      </c>
      <c r="M78" s="19"/>
      <c r="N78" s="19" t="s">
        <v>30</v>
      </c>
      <c r="O78" s="19"/>
      <c r="P78" s="19" t="s">
        <v>611</v>
      </c>
      <c r="Q78" s="19" t="s">
        <v>30</v>
      </c>
      <c r="R78" s="19"/>
      <c r="S78" s="22" t="s">
        <v>612</v>
      </c>
    </row>
    <row r="79" customFormat="false" ht="15" hidden="false" customHeight="false" outlineLevel="0" collapsed="false">
      <c r="A79" s="7" t="s">
        <v>613</v>
      </c>
      <c r="B79" s="7" t="s">
        <v>187</v>
      </c>
      <c r="C79" s="7" t="s">
        <v>67</v>
      </c>
      <c r="D79" s="7" t="s">
        <v>223</v>
      </c>
      <c r="E79" s="8" t="n">
        <v>900000</v>
      </c>
      <c r="F79" s="8" t="n">
        <v>1158906000</v>
      </c>
      <c r="G79" s="11" t="n">
        <f aca="false">IFERROR(E79/F79,"")</f>
        <v>0.000776594477895533</v>
      </c>
      <c r="H79" s="7" t="s">
        <v>364</v>
      </c>
      <c r="I79" s="7" t="s">
        <v>414</v>
      </c>
      <c r="J79" s="7" t="s">
        <v>386</v>
      </c>
      <c r="K79" s="7" t="s">
        <v>400</v>
      </c>
      <c r="L79" s="7" t="s">
        <v>396</v>
      </c>
      <c r="M79" s="7"/>
      <c r="N79" s="7" t="s">
        <v>30</v>
      </c>
      <c r="O79" s="7"/>
      <c r="P79" s="7" t="s">
        <v>361</v>
      </c>
      <c r="Q79" s="7" t="s">
        <v>30</v>
      </c>
      <c r="R79" s="7"/>
      <c r="S79" s="23" t="s">
        <v>614</v>
      </c>
    </row>
    <row r="80" customFormat="false" ht="15" hidden="false" customHeight="false" outlineLevel="0" collapsed="false">
      <c r="A80" s="19" t="s">
        <v>615</v>
      </c>
      <c r="B80" s="19" t="s">
        <v>248</v>
      </c>
      <c r="C80" s="19" t="s">
        <v>57</v>
      </c>
      <c r="D80" s="19" t="s">
        <v>140</v>
      </c>
      <c r="E80" s="20" t="n">
        <v>2856169</v>
      </c>
      <c r="F80" s="20" t="n">
        <v>4002000000</v>
      </c>
      <c r="G80" s="21" t="n">
        <f aca="false">IFERROR(E80/F80,"")</f>
        <v>0.000713685407296352</v>
      </c>
      <c r="H80" s="19" t="s">
        <v>356</v>
      </c>
      <c r="I80" s="19" t="s">
        <v>616</v>
      </c>
      <c r="J80" s="19" t="s">
        <v>358</v>
      </c>
      <c r="K80" s="19" t="s">
        <v>359</v>
      </c>
      <c r="L80" s="19" t="s">
        <v>377</v>
      </c>
      <c r="M80" s="19"/>
      <c r="N80" s="19" t="s">
        <v>30</v>
      </c>
      <c r="O80" s="19"/>
      <c r="P80" s="19" t="s">
        <v>361</v>
      </c>
      <c r="Q80" s="19" t="s">
        <v>30</v>
      </c>
      <c r="R80" s="19"/>
      <c r="S80" s="22" t="s">
        <v>617</v>
      </c>
    </row>
    <row r="81" customFormat="false" ht="15" hidden="false" customHeight="false" outlineLevel="0" collapsed="false">
      <c r="A81" s="7" t="s">
        <v>618</v>
      </c>
      <c r="B81" s="7" t="s">
        <v>172</v>
      </c>
      <c r="C81" s="7" t="s">
        <v>236</v>
      </c>
      <c r="D81" s="7" t="s">
        <v>132</v>
      </c>
      <c r="E81" s="8" t="n">
        <v>14500000</v>
      </c>
      <c r="F81" s="8" t="n">
        <v>23000000000</v>
      </c>
      <c r="G81" s="11" t="n">
        <f aca="false">IFERROR(E81/F81,"")</f>
        <v>0.000630434782608696</v>
      </c>
      <c r="H81" s="7" t="s">
        <v>380</v>
      </c>
      <c r="I81" s="7" t="s">
        <v>551</v>
      </c>
      <c r="J81" s="7" t="s">
        <v>358</v>
      </c>
      <c r="K81" s="7" t="s">
        <v>372</v>
      </c>
      <c r="L81" s="7" t="s">
        <v>469</v>
      </c>
      <c r="M81" s="7"/>
      <c r="N81" s="7" t="s">
        <v>30</v>
      </c>
      <c r="O81" s="7"/>
      <c r="P81" s="7" t="s">
        <v>361</v>
      </c>
      <c r="Q81" s="7" t="s">
        <v>30</v>
      </c>
      <c r="R81" s="7"/>
      <c r="S81" s="23" t="s">
        <v>619</v>
      </c>
    </row>
    <row r="82" customFormat="false" ht="15" hidden="false" customHeight="false" outlineLevel="0" collapsed="false">
      <c r="A82" s="19" t="s">
        <v>620</v>
      </c>
      <c r="B82" s="19" t="s">
        <v>147</v>
      </c>
      <c r="C82" s="19" t="s">
        <v>178</v>
      </c>
      <c r="D82" s="19" t="s">
        <v>140</v>
      </c>
      <c r="E82" s="20" t="n">
        <v>90000000</v>
      </c>
      <c r="F82" s="20" t="n">
        <v>167154800000</v>
      </c>
      <c r="G82" s="21" t="n">
        <f aca="false">IFERROR(E82/F82,"")</f>
        <v>0.000538423066522768</v>
      </c>
      <c r="H82" s="19" t="s">
        <v>380</v>
      </c>
      <c r="I82" s="19"/>
      <c r="J82" s="19" t="s">
        <v>358</v>
      </c>
      <c r="K82" s="19" t="s">
        <v>359</v>
      </c>
      <c r="L82" s="19" t="s">
        <v>429</v>
      </c>
      <c r="M82" s="19"/>
      <c r="N82" s="19" t="s">
        <v>30</v>
      </c>
      <c r="O82" s="19"/>
      <c r="P82" s="19" t="s">
        <v>361</v>
      </c>
      <c r="Q82" s="19" t="s">
        <v>30</v>
      </c>
      <c r="R82" s="19" t="s">
        <v>533</v>
      </c>
      <c r="S82" s="22" t="s">
        <v>621</v>
      </c>
    </row>
    <row r="83" customFormat="false" ht="15" hidden="false" customHeight="false" outlineLevel="0" collapsed="false">
      <c r="A83" s="7" t="s">
        <v>622</v>
      </c>
      <c r="B83" s="7" t="s">
        <v>268</v>
      </c>
      <c r="C83" s="7" t="s">
        <v>75</v>
      </c>
      <c r="D83" s="7" t="s">
        <v>291</v>
      </c>
      <c r="E83" s="8" t="n">
        <v>720000</v>
      </c>
      <c r="F83" s="8" t="n">
        <v>1374889000</v>
      </c>
      <c r="G83" s="11" t="n">
        <f aca="false">IFERROR(E83/F83,"")</f>
        <v>0.000523678638784658</v>
      </c>
      <c r="H83" s="7" t="s">
        <v>364</v>
      </c>
      <c r="I83" s="7" t="s">
        <v>508</v>
      </c>
      <c r="J83" s="7" t="s">
        <v>358</v>
      </c>
      <c r="K83" s="7" t="s">
        <v>445</v>
      </c>
      <c r="L83" s="7" t="s">
        <v>623</v>
      </c>
      <c r="M83" s="7" t="s">
        <v>140</v>
      </c>
      <c r="N83" s="7" t="s">
        <v>145</v>
      </c>
      <c r="O83" s="7" t="s">
        <v>205</v>
      </c>
      <c r="P83" s="7" t="s">
        <v>361</v>
      </c>
      <c r="Q83" s="7" t="s">
        <v>165</v>
      </c>
      <c r="R83" s="7"/>
      <c r="S83" s="23" t="s">
        <v>624</v>
      </c>
    </row>
    <row r="84" customFormat="false" ht="15" hidden="false" customHeight="false" outlineLevel="0" collapsed="false">
      <c r="A84" s="19" t="s">
        <v>625</v>
      </c>
      <c r="B84" s="19" t="s">
        <v>59</v>
      </c>
      <c r="C84" s="19" t="s">
        <v>60</v>
      </c>
      <c r="D84" s="19" t="s">
        <v>301</v>
      </c>
      <c r="E84" s="20" t="n">
        <v>550000</v>
      </c>
      <c r="F84" s="20" t="n">
        <v>1051000000</v>
      </c>
      <c r="G84" s="21" t="n">
        <f aca="false">IFERROR(E84/F84,"")</f>
        <v>0.000523311132254995</v>
      </c>
      <c r="H84" s="19" t="s">
        <v>380</v>
      </c>
      <c r="I84" s="19" t="s">
        <v>626</v>
      </c>
      <c r="J84" s="19" t="s">
        <v>358</v>
      </c>
      <c r="K84" s="19" t="s">
        <v>400</v>
      </c>
      <c r="L84" s="19" t="s">
        <v>558</v>
      </c>
      <c r="M84" s="19" t="s">
        <v>132</v>
      </c>
      <c r="N84" s="19" t="s">
        <v>133</v>
      </c>
      <c r="O84" s="19" t="s">
        <v>134</v>
      </c>
      <c r="P84" s="19" t="s">
        <v>361</v>
      </c>
      <c r="Q84" s="19" t="s">
        <v>36</v>
      </c>
      <c r="R84" s="19"/>
      <c r="S84" s="22" t="s">
        <v>627</v>
      </c>
    </row>
    <row r="85" customFormat="false" ht="15" hidden="false" customHeight="false" outlineLevel="0" collapsed="false">
      <c r="A85" s="7" t="s">
        <v>628</v>
      </c>
      <c r="B85" s="7" t="s">
        <v>146</v>
      </c>
      <c r="C85" s="7" t="s">
        <v>29</v>
      </c>
      <c r="D85" s="7" t="s">
        <v>132</v>
      </c>
      <c r="E85" s="8" t="n">
        <v>5000000</v>
      </c>
      <c r="F85" s="8" t="n">
        <v>10000000000</v>
      </c>
      <c r="G85" s="11" t="n">
        <f aca="false">IFERROR(E85/F85,"")</f>
        <v>0.0005</v>
      </c>
      <c r="H85" s="7" t="s">
        <v>364</v>
      </c>
      <c r="I85" s="7" t="s">
        <v>421</v>
      </c>
      <c r="J85" s="7" t="s">
        <v>358</v>
      </c>
      <c r="K85" s="7" t="s">
        <v>372</v>
      </c>
      <c r="L85" s="7" t="s">
        <v>360</v>
      </c>
      <c r="M85" s="7"/>
      <c r="N85" s="7" t="s">
        <v>30</v>
      </c>
      <c r="O85" s="7"/>
      <c r="P85" s="7" t="s">
        <v>361</v>
      </c>
      <c r="Q85" s="7" t="s">
        <v>30</v>
      </c>
      <c r="R85" s="7"/>
      <c r="S85" s="23" t="s">
        <v>629</v>
      </c>
    </row>
    <row r="86" customFormat="false" ht="15" hidden="false" customHeight="false" outlineLevel="0" collapsed="false">
      <c r="A86" s="19" t="s">
        <v>630</v>
      </c>
      <c r="B86" s="19" t="s">
        <v>74</v>
      </c>
      <c r="C86" s="19" t="s">
        <v>75</v>
      </c>
      <c r="D86" s="19" t="s">
        <v>132</v>
      </c>
      <c r="E86" s="20" t="n">
        <v>4900000</v>
      </c>
      <c r="F86" s="20" t="n">
        <v>10000000000</v>
      </c>
      <c r="G86" s="21" t="n">
        <f aca="false">IFERROR(E86/F86,"")</f>
        <v>0.00049</v>
      </c>
      <c r="H86" s="19" t="s">
        <v>380</v>
      </c>
      <c r="I86" s="19" t="s">
        <v>365</v>
      </c>
      <c r="J86" s="19" t="s">
        <v>358</v>
      </c>
      <c r="K86" s="19" t="s">
        <v>366</v>
      </c>
      <c r="L86" s="19" t="s">
        <v>623</v>
      </c>
      <c r="M86" s="19"/>
      <c r="N86" s="19" t="s">
        <v>30</v>
      </c>
      <c r="O86" s="19"/>
      <c r="P86" s="19" t="s">
        <v>361</v>
      </c>
      <c r="Q86" s="19" t="s">
        <v>30</v>
      </c>
      <c r="R86" s="19"/>
      <c r="S86" s="22" t="s">
        <v>631</v>
      </c>
    </row>
    <row r="87" customFormat="false" ht="15" hidden="false" customHeight="false" outlineLevel="0" collapsed="false">
      <c r="A87" s="7" t="s">
        <v>632</v>
      </c>
      <c r="B87" s="7" t="s">
        <v>83</v>
      </c>
      <c r="C87" s="7" t="s">
        <v>57</v>
      </c>
      <c r="D87" s="7" t="s">
        <v>291</v>
      </c>
      <c r="E87" s="8" t="n">
        <v>500000</v>
      </c>
      <c r="F87" s="8" t="n">
        <v>1051000000</v>
      </c>
      <c r="G87" s="11" t="n">
        <f aca="false">IFERROR(E87/F87,"")</f>
        <v>0.000475737392959087</v>
      </c>
      <c r="H87" s="7" t="s">
        <v>380</v>
      </c>
      <c r="I87" s="7" t="s">
        <v>633</v>
      </c>
      <c r="J87" s="7" t="s">
        <v>358</v>
      </c>
      <c r="K87" s="7" t="s">
        <v>372</v>
      </c>
      <c r="L87" s="7" t="s">
        <v>377</v>
      </c>
      <c r="M87" s="7" t="s">
        <v>132</v>
      </c>
      <c r="N87" s="7" t="s">
        <v>133</v>
      </c>
      <c r="O87" s="7" t="s">
        <v>134</v>
      </c>
      <c r="P87" s="7" t="s">
        <v>361</v>
      </c>
      <c r="Q87" s="7" t="s">
        <v>36</v>
      </c>
      <c r="R87" s="7"/>
      <c r="S87" s="23" t="s">
        <v>634</v>
      </c>
    </row>
    <row r="88" customFormat="false" ht="15" hidden="false" customHeight="false" outlineLevel="0" collapsed="false">
      <c r="A88" s="19" t="s">
        <v>635</v>
      </c>
      <c r="B88" s="19" t="s">
        <v>211</v>
      </c>
      <c r="C88" s="19" t="s">
        <v>178</v>
      </c>
      <c r="D88" s="19" t="s">
        <v>137</v>
      </c>
      <c r="E88" s="20" t="n">
        <v>15000000</v>
      </c>
      <c r="F88" s="20" t="n">
        <v>32000000000</v>
      </c>
      <c r="G88" s="21" t="n">
        <f aca="false">IFERROR(E88/F88,"")</f>
        <v>0.00046875</v>
      </c>
      <c r="H88" s="19" t="s">
        <v>370</v>
      </c>
      <c r="I88" s="19" t="s">
        <v>636</v>
      </c>
      <c r="J88" s="19" t="s">
        <v>358</v>
      </c>
      <c r="K88" s="19" t="s">
        <v>372</v>
      </c>
      <c r="L88" s="19" t="s">
        <v>429</v>
      </c>
      <c r="M88" s="19"/>
      <c r="N88" s="19" t="s">
        <v>30</v>
      </c>
      <c r="O88" s="19"/>
      <c r="P88" s="19" t="s">
        <v>361</v>
      </c>
      <c r="Q88" s="19" t="s">
        <v>30</v>
      </c>
      <c r="R88" s="19"/>
      <c r="S88" s="22" t="s">
        <v>637</v>
      </c>
    </row>
    <row r="89" customFormat="false" ht="15" hidden="false" customHeight="false" outlineLevel="0" collapsed="false">
      <c r="A89" s="7" t="s">
        <v>638</v>
      </c>
      <c r="B89" s="7" t="s">
        <v>187</v>
      </c>
      <c r="C89" s="7" t="s">
        <v>67</v>
      </c>
      <c r="D89" s="7" t="s">
        <v>140</v>
      </c>
      <c r="E89" s="8" t="n">
        <v>450000</v>
      </c>
      <c r="F89" s="8" t="n">
        <v>1158906000</v>
      </c>
      <c r="G89" s="11" t="n">
        <f aca="false">IFERROR(E89/F89,"")</f>
        <v>0.000388297238947766</v>
      </c>
      <c r="H89" s="7" t="s">
        <v>364</v>
      </c>
      <c r="I89" s="7" t="s">
        <v>414</v>
      </c>
      <c r="J89" s="7" t="s">
        <v>386</v>
      </c>
      <c r="K89" s="7" t="s">
        <v>400</v>
      </c>
      <c r="L89" s="7" t="s">
        <v>396</v>
      </c>
      <c r="M89" s="7"/>
      <c r="N89" s="7" t="s">
        <v>30</v>
      </c>
      <c r="O89" s="7"/>
      <c r="P89" s="7" t="s">
        <v>361</v>
      </c>
      <c r="Q89" s="7" t="s">
        <v>30</v>
      </c>
      <c r="R89" s="7"/>
      <c r="S89" s="23" t="s">
        <v>639</v>
      </c>
    </row>
    <row r="90" customFormat="false" ht="15" hidden="false" customHeight="false" outlineLevel="0" collapsed="false">
      <c r="A90" s="19" t="s">
        <v>640</v>
      </c>
      <c r="B90" s="19" t="s">
        <v>147</v>
      </c>
      <c r="C90" s="19" t="s">
        <v>178</v>
      </c>
      <c r="D90" s="19" t="s">
        <v>223</v>
      </c>
      <c r="E90" s="20" t="n">
        <v>50000000</v>
      </c>
      <c r="F90" s="20" t="n">
        <v>132390000000</v>
      </c>
      <c r="G90" s="21" t="n">
        <f aca="false">IFERROR(E90/F90,"")</f>
        <v>0.000377672029609487</v>
      </c>
      <c r="H90" s="19" t="s">
        <v>380</v>
      </c>
      <c r="I90" s="19" t="s">
        <v>641</v>
      </c>
      <c r="J90" s="19" t="s">
        <v>358</v>
      </c>
      <c r="K90" s="19" t="s">
        <v>359</v>
      </c>
      <c r="L90" s="19" t="s">
        <v>429</v>
      </c>
      <c r="M90" s="19"/>
      <c r="N90" s="19" t="s">
        <v>30</v>
      </c>
      <c r="O90" s="19"/>
      <c r="P90" s="19" t="s">
        <v>361</v>
      </c>
      <c r="Q90" s="19" t="s">
        <v>30</v>
      </c>
      <c r="R90" s="19"/>
      <c r="S90" s="22" t="s">
        <v>642</v>
      </c>
    </row>
    <row r="91" customFormat="false" ht="15" hidden="false" customHeight="false" outlineLevel="0" collapsed="false">
      <c r="A91" s="7" t="s">
        <v>643</v>
      </c>
      <c r="B91" s="7" t="s">
        <v>287</v>
      </c>
      <c r="C91" s="7" t="s">
        <v>108</v>
      </c>
      <c r="D91" s="7" t="s">
        <v>291</v>
      </c>
      <c r="E91" s="8" t="n">
        <v>85000</v>
      </c>
      <c r="F91" s="8" t="n">
        <v>232800000</v>
      </c>
      <c r="G91" s="11" t="n">
        <f aca="false">IFERROR(E91/F91,"")</f>
        <v>0.000365120274914089</v>
      </c>
      <c r="H91" s="7" t="s">
        <v>380</v>
      </c>
      <c r="I91" s="7" t="s">
        <v>644</v>
      </c>
      <c r="J91" s="7" t="s">
        <v>358</v>
      </c>
      <c r="K91" s="7" t="s">
        <v>366</v>
      </c>
      <c r="L91" s="7" t="s">
        <v>367</v>
      </c>
      <c r="M91" s="7" t="s">
        <v>132</v>
      </c>
      <c r="N91" s="7" t="s">
        <v>135</v>
      </c>
      <c r="O91" s="7" t="s">
        <v>142</v>
      </c>
      <c r="P91" s="7" t="s">
        <v>361</v>
      </c>
      <c r="Q91" s="7" t="s">
        <v>165</v>
      </c>
      <c r="R91" s="7"/>
      <c r="S91" s="23" t="s">
        <v>645</v>
      </c>
    </row>
    <row r="92" customFormat="false" ht="15" hidden="false" customHeight="false" outlineLevel="0" collapsed="false">
      <c r="A92" s="19" t="s">
        <v>646</v>
      </c>
      <c r="B92" s="19" t="s">
        <v>310</v>
      </c>
      <c r="C92" s="19" t="s">
        <v>49</v>
      </c>
      <c r="D92" s="19" t="s">
        <v>162</v>
      </c>
      <c r="E92" s="20" t="n">
        <v>15000</v>
      </c>
      <c r="F92" s="20" t="n">
        <v>44295276</v>
      </c>
      <c r="G92" s="21" t="n">
        <f aca="false">IFERROR(E92/F92,"")</f>
        <v>0.000338636562508381</v>
      </c>
      <c r="H92" s="19" t="s">
        <v>370</v>
      </c>
      <c r="I92" s="19" t="s">
        <v>414</v>
      </c>
      <c r="J92" s="19" t="s">
        <v>386</v>
      </c>
      <c r="K92" s="19" t="s">
        <v>400</v>
      </c>
      <c r="L92" s="19" t="s">
        <v>388</v>
      </c>
      <c r="M92" s="19"/>
      <c r="N92" s="19" t="s">
        <v>30</v>
      </c>
      <c r="O92" s="19"/>
      <c r="P92" s="19" t="s">
        <v>361</v>
      </c>
      <c r="Q92" s="19" t="s">
        <v>30</v>
      </c>
      <c r="R92" s="19"/>
      <c r="S92" s="22" t="s">
        <v>647</v>
      </c>
    </row>
    <row r="93" customFormat="false" ht="15" hidden="false" customHeight="false" outlineLevel="0" collapsed="false">
      <c r="A93" s="7" t="s">
        <v>648</v>
      </c>
      <c r="B93" s="15" t="s">
        <v>169</v>
      </c>
      <c r="C93" s="7" t="s">
        <v>67</v>
      </c>
      <c r="D93" s="7" t="s">
        <v>132</v>
      </c>
      <c r="E93" s="8" t="n">
        <v>10000000</v>
      </c>
      <c r="F93" s="8" t="n">
        <v>29648000000</v>
      </c>
      <c r="G93" s="11" t="n">
        <f aca="false">IFERROR(E93/F93,"")</f>
        <v>0.000337290879654614</v>
      </c>
      <c r="H93" s="7" t="s">
        <v>480</v>
      </c>
      <c r="I93" s="7" t="s">
        <v>444</v>
      </c>
      <c r="J93" s="7" t="s">
        <v>358</v>
      </c>
      <c r="K93" s="7" t="s">
        <v>445</v>
      </c>
      <c r="L93" s="7" t="s">
        <v>396</v>
      </c>
      <c r="M93" s="7"/>
      <c r="N93" s="7" t="s">
        <v>30</v>
      </c>
      <c r="O93" s="7"/>
      <c r="P93" s="7" t="s">
        <v>611</v>
      </c>
      <c r="Q93" s="7" t="s">
        <v>30</v>
      </c>
      <c r="R93" s="7"/>
      <c r="S93" s="23" t="s">
        <v>649</v>
      </c>
    </row>
    <row r="94" customFormat="false" ht="15" hidden="false" customHeight="false" outlineLevel="0" collapsed="false">
      <c r="A94" s="19" t="s">
        <v>650</v>
      </c>
      <c r="B94" s="19" t="s">
        <v>171</v>
      </c>
      <c r="C94" s="19" t="s">
        <v>57</v>
      </c>
      <c r="D94" s="19" t="s">
        <v>132</v>
      </c>
      <c r="E94" s="20" t="n">
        <v>7631175</v>
      </c>
      <c r="F94" s="20" t="n">
        <v>23830000000</v>
      </c>
      <c r="G94" s="21" t="n">
        <f aca="false">IFERROR(E94/F94,"")</f>
        <v>0.000320233948804029</v>
      </c>
      <c r="H94" s="19" t="s">
        <v>380</v>
      </c>
      <c r="I94" s="19" t="s">
        <v>651</v>
      </c>
      <c r="J94" s="19" t="s">
        <v>358</v>
      </c>
      <c r="K94" s="19" t="s">
        <v>359</v>
      </c>
      <c r="L94" s="19" t="s">
        <v>377</v>
      </c>
      <c r="M94" s="19"/>
      <c r="N94" s="19" t="s">
        <v>30</v>
      </c>
      <c r="O94" s="19"/>
      <c r="P94" s="19" t="s">
        <v>361</v>
      </c>
      <c r="Q94" s="19" t="s">
        <v>30</v>
      </c>
      <c r="R94" s="19"/>
      <c r="S94" s="22" t="s">
        <v>652</v>
      </c>
    </row>
    <row r="95" customFormat="false" ht="15" hidden="false" customHeight="false" outlineLevel="0" collapsed="false">
      <c r="A95" s="7" t="s">
        <v>653</v>
      </c>
      <c r="B95" s="7" t="s">
        <v>264</v>
      </c>
      <c r="C95" s="7" t="s">
        <v>67</v>
      </c>
      <c r="D95" s="7" t="s">
        <v>291</v>
      </c>
      <c r="E95" s="8" t="n">
        <v>525000</v>
      </c>
      <c r="F95" s="8" t="n">
        <v>1790000000</v>
      </c>
      <c r="G95" s="11" t="n">
        <f aca="false">IFERROR(E95/F95,"")</f>
        <v>0.000293296089385475</v>
      </c>
      <c r="H95" s="7" t="s">
        <v>380</v>
      </c>
      <c r="I95" s="7" t="s">
        <v>513</v>
      </c>
      <c r="J95" s="7" t="s">
        <v>358</v>
      </c>
      <c r="K95" s="7" t="s">
        <v>366</v>
      </c>
      <c r="L95" s="7" t="s">
        <v>396</v>
      </c>
      <c r="M95" s="7" t="s">
        <v>132</v>
      </c>
      <c r="N95" s="7" t="s">
        <v>141</v>
      </c>
      <c r="O95" s="7" t="s">
        <v>265</v>
      </c>
      <c r="P95" s="7" t="s">
        <v>361</v>
      </c>
      <c r="Q95" s="7" t="s">
        <v>54</v>
      </c>
      <c r="R95" s="7"/>
      <c r="S95" s="23" t="s">
        <v>654</v>
      </c>
    </row>
    <row r="96" customFormat="false" ht="15" hidden="false" customHeight="false" outlineLevel="0" collapsed="false">
      <c r="A96" s="19" t="s">
        <v>655</v>
      </c>
      <c r="B96" s="19" t="s">
        <v>182</v>
      </c>
      <c r="C96" s="19" t="s">
        <v>57</v>
      </c>
      <c r="D96" s="19" t="s">
        <v>137</v>
      </c>
      <c r="E96" s="20" t="n">
        <v>842062</v>
      </c>
      <c r="F96" s="20" t="n">
        <v>3036000000</v>
      </c>
      <c r="G96" s="21" t="n">
        <f aca="false">IFERROR(E96/F96,"")</f>
        <v>0.000277359025032938</v>
      </c>
      <c r="H96" s="19" t="s">
        <v>380</v>
      </c>
      <c r="I96" s="19" t="s">
        <v>494</v>
      </c>
      <c r="J96" s="19" t="s">
        <v>358</v>
      </c>
      <c r="K96" s="19" t="s">
        <v>359</v>
      </c>
      <c r="L96" s="19" t="s">
        <v>377</v>
      </c>
      <c r="M96" s="19"/>
      <c r="N96" s="19" t="s">
        <v>30</v>
      </c>
      <c r="O96" s="19"/>
      <c r="P96" s="19" t="s">
        <v>361</v>
      </c>
      <c r="Q96" s="19" t="s">
        <v>30</v>
      </c>
      <c r="R96" s="19"/>
      <c r="S96" s="22" t="s">
        <v>656</v>
      </c>
    </row>
    <row r="97" customFormat="false" ht="15" hidden="false" customHeight="false" outlineLevel="0" collapsed="false">
      <c r="A97" s="7" t="s">
        <v>657</v>
      </c>
      <c r="B97" s="7" t="s">
        <v>146</v>
      </c>
      <c r="C97" s="7" t="s">
        <v>29</v>
      </c>
      <c r="D97" s="7" t="s">
        <v>137</v>
      </c>
      <c r="E97" s="8" t="n">
        <v>3500000</v>
      </c>
      <c r="F97" s="8" t="n">
        <v>13842440000</v>
      </c>
      <c r="G97" s="11" t="n">
        <f aca="false">IFERROR(E97/F97,"")</f>
        <v>0.000252845596585573</v>
      </c>
      <c r="H97" s="7" t="s">
        <v>364</v>
      </c>
      <c r="I97" s="7" t="s">
        <v>658</v>
      </c>
      <c r="J97" s="7" t="s">
        <v>358</v>
      </c>
      <c r="K97" s="7" t="s">
        <v>400</v>
      </c>
      <c r="L97" s="7" t="s">
        <v>360</v>
      </c>
      <c r="M97" s="7"/>
      <c r="N97" s="7" t="s">
        <v>30</v>
      </c>
      <c r="O97" s="7"/>
      <c r="P97" s="7" t="s">
        <v>361</v>
      </c>
      <c r="Q97" s="7" t="s">
        <v>30</v>
      </c>
      <c r="R97" s="7"/>
      <c r="S97" s="23" t="s">
        <v>659</v>
      </c>
    </row>
    <row r="98" customFormat="false" ht="15" hidden="false" customHeight="false" outlineLevel="0" collapsed="false">
      <c r="A98" s="19" t="s">
        <v>660</v>
      </c>
      <c r="B98" s="19" t="s">
        <v>249</v>
      </c>
      <c r="C98" s="19" t="s">
        <v>204</v>
      </c>
      <c r="D98" s="19" t="s">
        <v>162</v>
      </c>
      <c r="E98" s="20" t="n">
        <v>900000</v>
      </c>
      <c r="F98" s="20" t="n">
        <v>3786790000</v>
      </c>
      <c r="G98" s="21" t="n">
        <f aca="false">IFERROR(E98/F98,"")</f>
        <v>0.000237668315380573</v>
      </c>
      <c r="H98" s="19" t="s">
        <v>380</v>
      </c>
      <c r="I98" s="19" t="s">
        <v>414</v>
      </c>
      <c r="J98" s="19" t="s">
        <v>386</v>
      </c>
      <c r="K98" s="19" t="s">
        <v>400</v>
      </c>
      <c r="L98" s="19" t="s">
        <v>661</v>
      </c>
      <c r="M98" s="19"/>
      <c r="N98" s="19" t="s">
        <v>30</v>
      </c>
      <c r="O98" s="19"/>
      <c r="P98" s="19" t="s">
        <v>361</v>
      </c>
      <c r="Q98" s="19" t="s">
        <v>30</v>
      </c>
      <c r="R98" s="19"/>
      <c r="S98" s="22" t="s">
        <v>662</v>
      </c>
    </row>
    <row r="99" customFormat="false" ht="15" hidden="false" customHeight="false" outlineLevel="0" collapsed="false">
      <c r="A99" s="7" t="s">
        <v>663</v>
      </c>
      <c r="B99" s="7" t="s">
        <v>156</v>
      </c>
      <c r="C99" s="7" t="s">
        <v>29</v>
      </c>
      <c r="D99" s="7" t="s">
        <v>132</v>
      </c>
      <c r="E99" s="8" t="n">
        <v>200000</v>
      </c>
      <c r="F99" s="8" t="n">
        <v>851671600</v>
      </c>
      <c r="G99" s="11" t="n">
        <f aca="false">IFERROR(E99/F99,"")</f>
        <v>0.000234832299210165</v>
      </c>
      <c r="H99" s="7" t="s">
        <v>364</v>
      </c>
      <c r="I99" s="7" t="s">
        <v>519</v>
      </c>
      <c r="J99" s="7" t="s">
        <v>358</v>
      </c>
      <c r="K99" s="7" t="s">
        <v>359</v>
      </c>
      <c r="L99" s="7" t="s">
        <v>360</v>
      </c>
      <c r="M99" s="7"/>
      <c r="N99" s="7" t="s">
        <v>30</v>
      </c>
      <c r="O99" s="7"/>
      <c r="P99" s="7" t="s">
        <v>361</v>
      </c>
      <c r="Q99" s="7" t="s">
        <v>30</v>
      </c>
      <c r="R99" s="7"/>
      <c r="S99" s="23" t="s">
        <v>664</v>
      </c>
    </row>
    <row r="100" customFormat="false" ht="15" hidden="false" customHeight="false" outlineLevel="0" collapsed="false">
      <c r="A100" s="19" t="s">
        <v>665</v>
      </c>
      <c r="B100" s="19" t="s">
        <v>247</v>
      </c>
      <c r="C100" s="19" t="s">
        <v>57</v>
      </c>
      <c r="D100" s="19" t="s">
        <v>132</v>
      </c>
      <c r="E100" s="20" t="n">
        <v>1000000</v>
      </c>
      <c r="F100" s="20" t="n">
        <v>4328000000</v>
      </c>
      <c r="G100" s="21" t="n">
        <f aca="false">IFERROR(E100/F100,"")</f>
        <v>0.000231053604436229</v>
      </c>
      <c r="H100" s="19" t="s">
        <v>356</v>
      </c>
      <c r="I100" s="19" t="s">
        <v>666</v>
      </c>
      <c r="J100" s="19" t="s">
        <v>358</v>
      </c>
      <c r="K100" s="19" t="s">
        <v>372</v>
      </c>
      <c r="L100" s="19" t="s">
        <v>377</v>
      </c>
      <c r="M100" s="19" t="s">
        <v>132</v>
      </c>
      <c r="N100" s="19" t="s">
        <v>133</v>
      </c>
      <c r="O100" s="19" t="s">
        <v>181</v>
      </c>
      <c r="P100" s="19" t="s">
        <v>361</v>
      </c>
      <c r="Q100" s="19" t="s">
        <v>165</v>
      </c>
      <c r="R100" s="19"/>
      <c r="S100" s="22" t="s">
        <v>667</v>
      </c>
    </row>
    <row r="101" customFormat="false" ht="15" hidden="false" customHeight="false" outlineLevel="0" collapsed="false">
      <c r="A101" s="7" t="s">
        <v>668</v>
      </c>
      <c r="B101" s="7" t="s">
        <v>309</v>
      </c>
      <c r="C101" s="7" t="s">
        <v>57</v>
      </c>
      <c r="D101" s="7" t="s">
        <v>132</v>
      </c>
      <c r="E101" s="8" t="n">
        <v>10000</v>
      </c>
      <c r="F101" s="8" t="n">
        <v>47600000</v>
      </c>
      <c r="G101" s="11" t="n">
        <f aca="false">IFERROR(E101/F101,"")</f>
        <v>0.000210084033613445</v>
      </c>
      <c r="H101" s="7" t="s">
        <v>487</v>
      </c>
      <c r="I101" s="7" t="s">
        <v>468</v>
      </c>
      <c r="J101" s="7" t="s">
        <v>358</v>
      </c>
      <c r="K101" s="7" t="s">
        <v>400</v>
      </c>
      <c r="L101" s="7" t="s">
        <v>377</v>
      </c>
      <c r="M101" s="7"/>
      <c r="N101" s="7" t="s">
        <v>30</v>
      </c>
      <c r="O101" s="7"/>
      <c r="P101" s="7" t="s">
        <v>361</v>
      </c>
      <c r="Q101" s="7" t="s">
        <v>30</v>
      </c>
      <c r="R101" s="7"/>
      <c r="S101" s="23" t="s">
        <v>669</v>
      </c>
    </row>
    <row r="102" customFormat="false" ht="15" hidden="false" customHeight="false" outlineLevel="0" collapsed="false">
      <c r="A102" s="19" t="s">
        <v>670</v>
      </c>
      <c r="B102" s="19" t="s">
        <v>43</v>
      </c>
      <c r="C102" s="19" t="s">
        <v>57</v>
      </c>
      <c r="D102" s="19" t="s">
        <v>409</v>
      </c>
      <c r="E102" s="20" t="n">
        <v>5508000</v>
      </c>
      <c r="F102" s="20" t="n">
        <v>26240000000</v>
      </c>
      <c r="G102" s="21" t="n">
        <f aca="false">IFERROR(E102/F102,"")</f>
        <v>0.000209908536585366</v>
      </c>
      <c r="H102" s="19" t="s">
        <v>364</v>
      </c>
      <c r="I102" s="19" t="s">
        <v>671</v>
      </c>
      <c r="J102" s="19" t="s">
        <v>358</v>
      </c>
      <c r="K102" s="19" t="s">
        <v>366</v>
      </c>
      <c r="L102" s="19"/>
      <c r="M102" s="19"/>
      <c r="N102" s="19" t="s">
        <v>30</v>
      </c>
      <c r="O102" s="19"/>
      <c r="P102" s="19" t="s">
        <v>411</v>
      </c>
      <c r="Q102" s="19" t="s">
        <v>30</v>
      </c>
      <c r="R102" s="19"/>
      <c r="S102" s="22" t="s">
        <v>672</v>
      </c>
    </row>
    <row r="103" customFormat="false" ht="15" hidden="false" customHeight="false" outlineLevel="0" collapsed="false">
      <c r="A103" s="7" t="s">
        <v>673</v>
      </c>
      <c r="B103" s="7" t="s">
        <v>192</v>
      </c>
      <c r="C103" s="7" t="s">
        <v>29</v>
      </c>
      <c r="D103" s="7" t="s">
        <v>132</v>
      </c>
      <c r="E103" s="8" t="n">
        <v>50000</v>
      </c>
      <c r="F103" s="8" t="n">
        <v>243000000</v>
      </c>
      <c r="G103" s="11" t="n">
        <f aca="false">IFERROR(E103/F103,"")</f>
        <v>0.000205761316872428</v>
      </c>
      <c r="H103" s="7" t="s">
        <v>380</v>
      </c>
      <c r="I103" s="7" t="s">
        <v>371</v>
      </c>
      <c r="J103" s="7" t="s">
        <v>358</v>
      </c>
      <c r="K103" s="7" t="s">
        <v>372</v>
      </c>
      <c r="L103" s="7" t="s">
        <v>360</v>
      </c>
      <c r="M103" s="7" t="s">
        <v>132</v>
      </c>
      <c r="N103" s="7" t="s">
        <v>135</v>
      </c>
      <c r="O103" s="7" t="s">
        <v>193</v>
      </c>
      <c r="P103" s="7" t="s">
        <v>361</v>
      </c>
      <c r="Q103" s="7" t="s">
        <v>36</v>
      </c>
      <c r="R103" s="7"/>
      <c r="S103" s="23" t="s">
        <v>674</v>
      </c>
    </row>
    <row r="104" customFormat="false" ht="15" hidden="false" customHeight="false" outlineLevel="0" collapsed="false">
      <c r="A104" s="19" t="s">
        <v>675</v>
      </c>
      <c r="B104" s="19" t="s">
        <v>175</v>
      </c>
      <c r="C104" s="19" t="s">
        <v>176</v>
      </c>
      <c r="D104" s="19" t="s">
        <v>223</v>
      </c>
      <c r="E104" s="20" t="n">
        <v>2600000</v>
      </c>
      <c r="F104" s="20" t="n">
        <v>13143127997.85</v>
      </c>
      <c r="G104" s="21" t="n">
        <f aca="false">IFERROR(E104/F104,"")</f>
        <v>0.000197822010135283</v>
      </c>
      <c r="H104" s="19" t="s">
        <v>676</v>
      </c>
      <c r="I104" s="19" t="s">
        <v>414</v>
      </c>
      <c r="J104" s="19" t="s">
        <v>386</v>
      </c>
      <c r="K104" s="19" t="s">
        <v>400</v>
      </c>
      <c r="L104" s="19" t="s">
        <v>591</v>
      </c>
      <c r="M104" s="19"/>
      <c r="N104" s="19" t="s">
        <v>30</v>
      </c>
      <c r="O104" s="19"/>
      <c r="P104" s="19" t="s">
        <v>361</v>
      </c>
      <c r="Q104" s="19" t="s">
        <v>30</v>
      </c>
      <c r="R104" s="19"/>
      <c r="S104" s="22" t="s">
        <v>677</v>
      </c>
    </row>
    <row r="105" customFormat="false" ht="15" hidden="false" customHeight="false" outlineLevel="0" collapsed="false">
      <c r="A105" s="7" t="s">
        <v>678</v>
      </c>
      <c r="B105" s="7" t="s">
        <v>41</v>
      </c>
      <c r="C105" s="7" t="s">
        <v>29</v>
      </c>
      <c r="D105" s="7" t="s">
        <v>162</v>
      </c>
      <c r="E105" s="8" t="n">
        <v>5000000</v>
      </c>
      <c r="F105" s="8" t="n">
        <v>26240000000</v>
      </c>
      <c r="G105" s="11" t="n">
        <f aca="false">IFERROR(E105/F105,"")</f>
        <v>0.000190548780487805</v>
      </c>
      <c r="H105" s="7" t="s">
        <v>364</v>
      </c>
      <c r="I105" s="7" t="s">
        <v>679</v>
      </c>
      <c r="J105" s="7" t="s">
        <v>358</v>
      </c>
      <c r="K105" s="7" t="s">
        <v>445</v>
      </c>
      <c r="L105" s="7" t="s">
        <v>360</v>
      </c>
      <c r="M105" s="7"/>
      <c r="N105" s="7" t="s">
        <v>30</v>
      </c>
      <c r="O105" s="7"/>
      <c r="P105" s="7" t="s">
        <v>361</v>
      </c>
      <c r="Q105" s="7" t="s">
        <v>30</v>
      </c>
      <c r="R105" s="7"/>
      <c r="S105" s="23" t="s">
        <v>680</v>
      </c>
    </row>
    <row r="106" customFormat="false" ht="15" hidden="false" customHeight="false" outlineLevel="0" collapsed="false">
      <c r="A106" s="19" t="s">
        <v>681</v>
      </c>
      <c r="B106" s="19" t="s">
        <v>215</v>
      </c>
      <c r="C106" s="19" t="s">
        <v>67</v>
      </c>
      <c r="D106" s="19" t="s">
        <v>137</v>
      </c>
      <c r="E106" s="20" t="n">
        <v>4750000</v>
      </c>
      <c r="F106" s="20" t="n">
        <v>25000000000</v>
      </c>
      <c r="G106" s="21" t="n">
        <f aca="false">IFERROR(E106/F106,"")</f>
        <v>0.00019</v>
      </c>
      <c r="H106" s="19" t="s">
        <v>380</v>
      </c>
      <c r="I106" s="19" t="s">
        <v>682</v>
      </c>
      <c r="J106" s="19" t="s">
        <v>358</v>
      </c>
      <c r="K106" s="19" t="s">
        <v>445</v>
      </c>
      <c r="L106" s="19" t="s">
        <v>396</v>
      </c>
      <c r="M106" s="19"/>
      <c r="N106" s="19" t="s">
        <v>30</v>
      </c>
      <c r="O106" s="19"/>
      <c r="P106" s="19" t="s">
        <v>361</v>
      </c>
      <c r="Q106" s="19" t="s">
        <v>30</v>
      </c>
      <c r="R106" s="19"/>
      <c r="S106" s="22" t="s">
        <v>683</v>
      </c>
    </row>
    <row r="107" customFormat="false" ht="15" hidden="false" customHeight="false" outlineLevel="0" collapsed="false">
      <c r="A107" s="7" t="s">
        <v>684</v>
      </c>
      <c r="B107" s="7" t="s">
        <v>174</v>
      </c>
      <c r="C107" s="7" t="s">
        <v>57</v>
      </c>
      <c r="D107" s="7" t="s">
        <v>137</v>
      </c>
      <c r="E107" s="8" t="n">
        <v>2800000</v>
      </c>
      <c r="F107" s="8" t="n">
        <v>18000000000</v>
      </c>
      <c r="G107" s="11" t="n">
        <f aca="false">IFERROR(E107/F107,"")</f>
        <v>0.000155555555555556</v>
      </c>
      <c r="H107" s="7" t="s">
        <v>364</v>
      </c>
      <c r="I107" s="7" t="s">
        <v>468</v>
      </c>
      <c r="J107" s="7" t="s">
        <v>358</v>
      </c>
      <c r="K107" s="7" t="s">
        <v>400</v>
      </c>
      <c r="L107" s="7" t="s">
        <v>377</v>
      </c>
      <c r="M107" s="7"/>
      <c r="N107" s="7" t="s">
        <v>30</v>
      </c>
      <c r="O107" s="7"/>
      <c r="P107" s="7" t="s">
        <v>361</v>
      </c>
      <c r="Q107" s="7" t="s">
        <v>30</v>
      </c>
      <c r="R107" s="7"/>
      <c r="S107" s="23" t="s">
        <v>685</v>
      </c>
    </row>
    <row r="108" customFormat="false" ht="15" hidden="false" customHeight="false" outlineLevel="0" collapsed="false">
      <c r="A108" s="19" t="s">
        <v>686</v>
      </c>
      <c r="B108" s="19" t="s">
        <v>253</v>
      </c>
      <c r="C108" s="19" t="s">
        <v>70</v>
      </c>
      <c r="D108" s="19" t="s">
        <v>162</v>
      </c>
      <c r="E108" s="20" t="n">
        <v>450000</v>
      </c>
      <c r="F108" s="20" t="n">
        <v>3090939100</v>
      </c>
      <c r="G108" s="21" t="n">
        <f aca="false">IFERROR(E108/F108,"")</f>
        <v>0.000145586821817356</v>
      </c>
      <c r="H108" s="19" t="s">
        <v>380</v>
      </c>
      <c r="I108" s="19" t="s">
        <v>687</v>
      </c>
      <c r="J108" s="19" t="s">
        <v>386</v>
      </c>
      <c r="K108" s="19" t="s">
        <v>405</v>
      </c>
      <c r="L108" s="19" t="s">
        <v>418</v>
      </c>
      <c r="M108" s="19" t="s">
        <v>223</v>
      </c>
      <c r="N108" s="19" t="s">
        <v>145</v>
      </c>
      <c r="O108" s="19" t="s">
        <v>205</v>
      </c>
      <c r="P108" s="19" t="s">
        <v>361</v>
      </c>
      <c r="Q108" s="19" t="s">
        <v>165</v>
      </c>
      <c r="R108" s="19"/>
      <c r="S108" s="22" t="s">
        <v>688</v>
      </c>
    </row>
    <row r="109" customFormat="false" ht="15" hidden="false" customHeight="false" outlineLevel="0" collapsed="false">
      <c r="A109" s="7" t="s">
        <v>689</v>
      </c>
      <c r="B109" s="7" t="s">
        <v>262</v>
      </c>
      <c r="C109" s="7" t="s">
        <v>204</v>
      </c>
      <c r="D109" s="7" t="s">
        <v>132</v>
      </c>
      <c r="E109" s="8" t="n">
        <v>300000</v>
      </c>
      <c r="F109" s="8" t="n">
        <v>2067100000</v>
      </c>
      <c r="G109" s="11" t="n">
        <f aca="false">IFERROR(E109/F109,"")</f>
        <v>0.000145130859658459</v>
      </c>
      <c r="H109" s="7" t="s">
        <v>364</v>
      </c>
      <c r="I109" s="7" t="s">
        <v>690</v>
      </c>
      <c r="J109" s="7" t="s">
        <v>358</v>
      </c>
      <c r="K109" s="7" t="s">
        <v>366</v>
      </c>
      <c r="L109" s="7" t="s">
        <v>691</v>
      </c>
      <c r="M109" s="7" t="s">
        <v>132</v>
      </c>
      <c r="N109" s="7" t="s">
        <v>135</v>
      </c>
      <c r="O109" s="7" t="s">
        <v>263</v>
      </c>
      <c r="P109" s="7" t="s">
        <v>361</v>
      </c>
      <c r="Q109" s="7" t="s">
        <v>36</v>
      </c>
      <c r="R109" s="7"/>
      <c r="S109" s="23" t="s">
        <v>692</v>
      </c>
    </row>
    <row r="110" customFormat="false" ht="15" hidden="false" customHeight="false" outlineLevel="0" collapsed="false">
      <c r="A110" s="19" t="s">
        <v>693</v>
      </c>
      <c r="B110" s="19" t="s">
        <v>46</v>
      </c>
      <c r="C110" s="19" t="s">
        <v>29</v>
      </c>
      <c r="D110" s="19" t="s">
        <v>140</v>
      </c>
      <c r="E110" s="20" t="n">
        <v>2000000</v>
      </c>
      <c r="F110" s="20" t="n">
        <v>13842440000</v>
      </c>
      <c r="G110" s="21" t="n">
        <f aca="false">IFERROR(E110/F110,"")</f>
        <v>0.000144483198048899</v>
      </c>
      <c r="H110" s="19" t="s">
        <v>364</v>
      </c>
      <c r="I110" s="19" t="s">
        <v>694</v>
      </c>
      <c r="J110" s="19" t="s">
        <v>358</v>
      </c>
      <c r="K110" s="19" t="s">
        <v>359</v>
      </c>
      <c r="L110" s="19" t="s">
        <v>360</v>
      </c>
      <c r="M110" s="19"/>
      <c r="N110" s="19" t="s">
        <v>30</v>
      </c>
      <c r="O110" s="19"/>
      <c r="P110" s="19" t="s">
        <v>361</v>
      </c>
      <c r="Q110" s="19" t="s">
        <v>30</v>
      </c>
      <c r="R110" s="19"/>
      <c r="S110" s="22" t="s">
        <v>695</v>
      </c>
    </row>
    <row r="111" customFormat="false" ht="15" hidden="false" customHeight="false" outlineLevel="0" collapsed="false">
      <c r="A111" s="7" t="s">
        <v>696</v>
      </c>
      <c r="B111" s="7" t="s">
        <v>326</v>
      </c>
      <c r="C111" s="7" t="s">
        <v>327</v>
      </c>
      <c r="D111" s="7" t="s">
        <v>223</v>
      </c>
      <c r="E111" s="8" t="n">
        <v>1165</v>
      </c>
      <c r="F111" s="8" t="n">
        <v>8208200</v>
      </c>
      <c r="G111" s="11" t="n">
        <f aca="false">IFERROR(E111/F111,"")</f>
        <v>0.000141931239492215</v>
      </c>
      <c r="H111" s="7" t="s">
        <v>364</v>
      </c>
      <c r="I111" s="7" t="s">
        <v>414</v>
      </c>
      <c r="J111" s="7" t="s">
        <v>386</v>
      </c>
      <c r="K111" s="7" t="s">
        <v>400</v>
      </c>
      <c r="L111" s="7" t="s">
        <v>697</v>
      </c>
      <c r="M111" s="7"/>
      <c r="N111" s="7" t="s">
        <v>30</v>
      </c>
      <c r="O111" s="7"/>
      <c r="P111" s="7" t="s">
        <v>361</v>
      </c>
      <c r="Q111" s="7" t="s">
        <v>30</v>
      </c>
      <c r="R111" s="7"/>
      <c r="S111" s="23" t="s">
        <v>698</v>
      </c>
    </row>
    <row r="112" customFormat="false" ht="15" hidden="false" customHeight="false" outlineLevel="0" collapsed="false">
      <c r="A112" s="19" t="s">
        <v>699</v>
      </c>
      <c r="B112" s="19" t="s">
        <v>700</v>
      </c>
      <c r="C112" s="19" t="s">
        <v>29</v>
      </c>
      <c r="D112" s="19" t="s">
        <v>291</v>
      </c>
      <c r="E112" s="20" t="n">
        <v>200000</v>
      </c>
      <c r="F112" s="20" t="n">
        <v>1451400000</v>
      </c>
      <c r="G112" s="21" t="n">
        <f aca="false">IFERROR(E112/F112,"")</f>
        <v>0.000137797988149373</v>
      </c>
      <c r="H112" s="19" t="s">
        <v>380</v>
      </c>
      <c r="I112" s="19" t="s">
        <v>371</v>
      </c>
      <c r="J112" s="19" t="s">
        <v>358</v>
      </c>
      <c r="K112" s="19" t="s">
        <v>372</v>
      </c>
      <c r="L112" s="19" t="s">
        <v>360</v>
      </c>
      <c r="M112" s="19"/>
      <c r="N112" s="19" t="s">
        <v>30</v>
      </c>
      <c r="O112" s="19"/>
      <c r="P112" s="19" t="s">
        <v>361</v>
      </c>
      <c r="Q112" s="19" t="s">
        <v>30</v>
      </c>
      <c r="R112" s="19"/>
      <c r="S112" s="22" t="s">
        <v>701</v>
      </c>
    </row>
    <row r="113" customFormat="false" ht="15" hidden="false" customHeight="false" outlineLevel="0" collapsed="false">
      <c r="A113" s="7" t="s">
        <v>702</v>
      </c>
      <c r="B113" s="7" t="s">
        <v>196</v>
      </c>
      <c r="C113" s="7" t="s">
        <v>29</v>
      </c>
      <c r="D113" s="7" t="s">
        <v>132</v>
      </c>
      <c r="E113" s="8" t="n">
        <v>4000</v>
      </c>
      <c r="F113" s="8" t="n">
        <v>29400000</v>
      </c>
      <c r="G113" s="11" t="n">
        <f aca="false">IFERROR(E113/F113,"")</f>
        <v>0.000136054421768707</v>
      </c>
      <c r="H113" s="7" t="s">
        <v>370</v>
      </c>
      <c r="I113" s="7" t="s">
        <v>385</v>
      </c>
      <c r="J113" s="7" t="s">
        <v>386</v>
      </c>
      <c r="K113" s="7" t="s">
        <v>387</v>
      </c>
      <c r="L113" s="7" t="s">
        <v>360</v>
      </c>
      <c r="M113" s="7" t="s">
        <v>132</v>
      </c>
      <c r="N113" s="7" t="s">
        <v>141</v>
      </c>
      <c r="O113" s="7" t="s">
        <v>197</v>
      </c>
      <c r="P113" s="7" t="s">
        <v>361</v>
      </c>
      <c r="Q113" s="7" t="s">
        <v>36</v>
      </c>
      <c r="R113" s="7"/>
      <c r="S113" s="23" t="s">
        <v>703</v>
      </c>
    </row>
    <row r="114" customFormat="false" ht="15" hidden="false" customHeight="false" outlineLevel="0" collapsed="false">
      <c r="A114" s="19" t="s">
        <v>704</v>
      </c>
      <c r="B114" s="19" t="s">
        <v>161</v>
      </c>
      <c r="C114" s="19" t="s">
        <v>70</v>
      </c>
      <c r="D114" s="19" t="s">
        <v>132</v>
      </c>
      <c r="E114" s="20" t="n">
        <v>5500000</v>
      </c>
      <c r="F114" s="20" t="n">
        <v>45000000000</v>
      </c>
      <c r="G114" s="21" t="n">
        <f aca="false">IFERROR(E114/F114,"")</f>
        <v>0.000122222222222222</v>
      </c>
      <c r="H114" s="19" t="s">
        <v>380</v>
      </c>
      <c r="I114" s="19" t="s">
        <v>705</v>
      </c>
      <c r="J114" s="19" t="s">
        <v>358</v>
      </c>
      <c r="K114" s="19" t="s">
        <v>359</v>
      </c>
      <c r="L114" s="19" t="s">
        <v>418</v>
      </c>
      <c r="M114" s="19" t="s">
        <v>162</v>
      </c>
      <c r="N114" s="19" t="s">
        <v>145</v>
      </c>
      <c r="O114" s="19" t="s">
        <v>163</v>
      </c>
      <c r="P114" s="19" t="s">
        <v>361</v>
      </c>
      <c r="Q114" s="19" t="s">
        <v>36</v>
      </c>
      <c r="R114" s="19"/>
      <c r="S114" s="22" t="s">
        <v>706</v>
      </c>
    </row>
    <row r="115" customFormat="false" ht="15" hidden="false" customHeight="false" outlineLevel="0" collapsed="false">
      <c r="A115" s="7" t="s">
        <v>707</v>
      </c>
      <c r="B115" s="7" t="s">
        <v>158</v>
      </c>
      <c r="C115" s="7" t="s">
        <v>57</v>
      </c>
      <c r="D115" s="7" t="s">
        <v>223</v>
      </c>
      <c r="E115" s="8" t="n">
        <v>8500000</v>
      </c>
      <c r="F115" s="8" t="n">
        <v>69881000000</v>
      </c>
      <c r="G115" s="11" t="n">
        <f aca="false">IFERROR(E115/F115,"")</f>
        <v>0.000121635351526166</v>
      </c>
      <c r="H115" s="7" t="s">
        <v>356</v>
      </c>
      <c r="I115" s="7" t="s">
        <v>708</v>
      </c>
      <c r="J115" s="7" t="s">
        <v>358</v>
      </c>
      <c r="K115" s="7" t="s">
        <v>359</v>
      </c>
      <c r="L115" s="7" t="s">
        <v>377</v>
      </c>
      <c r="M115" s="7"/>
      <c r="N115" s="7" t="s">
        <v>30</v>
      </c>
      <c r="O115" s="7"/>
      <c r="P115" s="7" t="s">
        <v>361</v>
      </c>
      <c r="Q115" s="7" t="s">
        <v>30</v>
      </c>
      <c r="R115" s="7"/>
      <c r="S115" s="23" t="s">
        <v>709</v>
      </c>
    </row>
    <row r="116" customFormat="false" ht="15" hidden="false" customHeight="false" outlineLevel="0" collapsed="false">
      <c r="A116" s="19" t="s">
        <v>710</v>
      </c>
      <c r="B116" s="19" t="s">
        <v>242</v>
      </c>
      <c r="C116" s="19" t="s">
        <v>178</v>
      </c>
      <c r="D116" s="19" t="s">
        <v>291</v>
      </c>
      <c r="E116" s="20" t="n">
        <v>600000</v>
      </c>
      <c r="F116" s="20" t="n">
        <v>5056000000</v>
      </c>
      <c r="G116" s="21" t="n">
        <f aca="false">IFERROR(E116/F116,"")</f>
        <v>0.000118670886075949</v>
      </c>
      <c r="H116" s="19" t="s">
        <v>527</v>
      </c>
      <c r="I116" s="19" t="s">
        <v>711</v>
      </c>
      <c r="J116" s="19" t="s">
        <v>358</v>
      </c>
      <c r="K116" s="19" t="s">
        <v>366</v>
      </c>
      <c r="L116" s="19" t="s">
        <v>429</v>
      </c>
      <c r="M116" s="19" t="s">
        <v>132</v>
      </c>
      <c r="N116" s="19" t="s">
        <v>133</v>
      </c>
      <c r="O116" s="19" t="s">
        <v>243</v>
      </c>
      <c r="P116" s="19" t="s">
        <v>361</v>
      </c>
      <c r="Q116" s="19" t="s">
        <v>165</v>
      </c>
      <c r="R116" s="19"/>
      <c r="S116" s="22" t="s">
        <v>712</v>
      </c>
    </row>
    <row r="117" customFormat="false" ht="15" hidden="false" customHeight="false" outlineLevel="0" collapsed="false">
      <c r="A117" s="7" t="s">
        <v>713</v>
      </c>
      <c r="B117" s="7" t="s">
        <v>34</v>
      </c>
      <c r="C117" s="7" t="s">
        <v>29</v>
      </c>
      <c r="D117" s="7" t="s">
        <v>140</v>
      </c>
      <c r="E117" s="8" t="n">
        <v>120000</v>
      </c>
      <c r="F117" s="8" t="n">
        <v>1051000000</v>
      </c>
      <c r="G117" s="11" t="n">
        <f aca="false">IFERROR(E117/F117,"")</f>
        <v>0.000114176974310181</v>
      </c>
      <c r="H117" s="7" t="s">
        <v>380</v>
      </c>
      <c r="I117" s="7" t="s">
        <v>494</v>
      </c>
      <c r="J117" s="7" t="s">
        <v>358</v>
      </c>
      <c r="K117" s="7" t="s">
        <v>359</v>
      </c>
      <c r="L117" s="7" t="s">
        <v>360</v>
      </c>
      <c r="M117" s="7" t="s">
        <v>132</v>
      </c>
      <c r="N117" s="7" t="s">
        <v>133</v>
      </c>
      <c r="O117" s="7" t="s">
        <v>134</v>
      </c>
      <c r="P117" s="7" t="s">
        <v>361</v>
      </c>
      <c r="Q117" s="7" t="s">
        <v>36</v>
      </c>
      <c r="R117" s="7"/>
      <c r="S117" s="23" t="s">
        <v>714</v>
      </c>
    </row>
    <row r="118" customFormat="false" ht="15" hidden="false" customHeight="false" outlineLevel="0" collapsed="false">
      <c r="A118" s="19" t="s">
        <v>715</v>
      </c>
      <c r="B118" s="19" t="s">
        <v>192</v>
      </c>
      <c r="C118" s="19" t="s">
        <v>29</v>
      </c>
      <c r="D118" s="19" t="s">
        <v>137</v>
      </c>
      <c r="E118" s="20" t="n">
        <v>27000</v>
      </c>
      <c r="F118" s="20" t="n">
        <v>243000000</v>
      </c>
      <c r="G118" s="21" t="n">
        <f aca="false">IFERROR(E118/F118,"")</f>
        <v>0.000111111111111111</v>
      </c>
      <c r="H118" s="19" t="s">
        <v>380</v>
      </c>
      <c r="I118" s="19" t="s">
        <v>385</v>
      </c>
      <c r="J118" s="19" t="s">
        <v>386</v>
      </c>
      <c r="K118" s="19" t="s">
        <v>387</v>
      </c>
      <c r="L118" s="19" t="s">
        <v>360</v>
      </c>
      <c r="M118" s="19" t="s">
        <v>132</v>
      </c>
      <c r="N118" s="19" t="s">
        <v>135</v>
      </c>
      <c r="O118" s="19" t="s">
        <v>193</v>
      </c>
      <c r="P118" s="19" t="s">
        <v>361</v>
      </c>
      <c r="Q118" s="19" t="s">
        <v>36</v>
      </c>
      <c r="R118" s="19"/>
      <c r="S118" s="22" t="s">
        <v>716</v>
      </c>
    </row>
    <row r="119" customFormat="false" ht="15" hidden="false" customHeight="false" outlineLevel="0" collapsed="false">
      <c r="A119" s="7" t="s">
        <v>717</v>
      </c>
      <c r="B119" s="7" t="s">
        <v>273</v>
      </c>
      <c r="C119" s="7" t="s">
        <v>49</v>
      </c>
      <c r="D119" s="7" t="s">
        <v>162</v>
      </c>
      <c r="E119" s="8" t="n">
        <v>100000</v>
      </c>
      <c r="F119" s="8" t="n">
        <v>908600000</v>
      </c>
      <c r="G119" s="11" t="n">
        <f aca="false">IFERROR(E119/F119,"")</f>
        <v>0.00011005943209333</v>
      </c>
      <c r="H119" s="7" t="s">
        <v>364</v>
      </c>
      <c r="I119" s="7" t="s">
        <v>468</v>
      </c>
      <c r="J119" s="7" t="s">
        <v>358</v>
      </c>
      <c r="K119" s="7" t="s">
        <v>400</v>
      </c>
      <c r="L119" s="7" t="s">
        <v>388</v>
      </c>
      <c r="M119" s="7"/>
      <c r="N119" s="7" t="s">
        <v>30</v>
      </c>
      <c r="O119" s="7"/>
      <c r="P119" s="7" t="s">
        <v>361</v>
      </c>
      <c r="Q119" s="7" t="s">
        <v>30</v>
      </c>
      <c r="R119" s="7"/>
      <c r="S119" s="23" t="s">
        <v>718</v>
      </c>
    </row>
    <row r="120" customFormat="false" ht="15" hidden="false" customHeight="false" outlineLevel="0" collapsed="false">
      <c r="A120" s="19" t="s">
        <v>719</v>
      </c>
      <c r="B120" s="19" t="s">
        <v>221</v>
      </c>
      <c r="C120" s="19" t="s">
        <v>29</v>
      </c>
      <c r="D120" s="19" t="s">
        <v>140</v>
      </c>
      <c r="E120" s="20" t="n">
        <v>1500000</v>
      </c>
      <c r="F120" s="20" t="n">
        <v>13772545000</v>
      </c>
      <c r="G120" s="21" t="n">
        <f aca="false">IFERROR(E120/F120,"")</f>
        <v>0.000108912332470143</v>
      </c>
      <c r="H120" s="19" t="s">
        <v>356</v>
      </c>
      <c r="I120" s="19" t="s">
        <v>600</v>
      </c>
      <c r="J120" s="19" t="s">
        <v>358</v>
      </c>
      <c r="K120" s="19" t="s">
        <v>445</v>
      </c>
      <c r="L120" s="19" t="s">
        <v>360</v>
      </c>
      <c r="M120" s="19"/>
      <c r="N120" s="19" t="s">
        <v>30</v>
      </c>
      <c r="O120" s="19"/>
      <c r="P120" s="19" t="s">
        <v>361</v>
      </c>
      <c r="Q120" s="19" t="s">
        <v>30</v>
      </c>
      <c r="R120" s="19"/>
      <c r="S120" s="22" t="s">
        <v>720</v>
      </c>
    </row>
    <row r="121" customFormat="false" ht="15" hidden="false" customHeight="false" outlineLevel="0" collapsed="false">
      <c r="A121" s="7" t="s">
        <v>721</v>
      </c>
      <c r="B121" s="7" t="s">
        <v>200</v>
      </c>
      <c r="C121" s="7" t="s">
        <v>185</v>
      </c>
      <c r="D121" s="7" t="s">
        <v>291</v>
      </c>
      <c r="E121" s="8" t="n">
        <v>8000000</v>
      </c>
      <c r="F121" s="8" t="n">
        <v>75000000000</v>
      </c>
      <c r="G121" s="11" t="n">
        <f aca="false">IFERROR(E121/F121,"")</f>
        <v>0.000106666666666667</v>
      </c>
      <c r="H121" s="7" t="s">
        <v>370</v>
      </c>
      <c r="I121" s="7"/>
      <c r="J121" s="7"/>
      <c r="K121" s="7" t="s">
        <v>722</v>
      </c>
      <c r="L121" s="7" t="s">
        <v>460</v>
      </c>
      <c r="M121" s="7"/>
      <c r="N121" s="7" t="s">
        <v>30</v>
      </c>
      <c r="O121" s="7"/>
      <c r="P121" s="7" t="s">
        <v>361</v>
      </c>
      <c r="Q121" s="7" t="s">
        <v>30</v>
      </c>
      <c r="R121" s="7"/>
      <c r="S121" s="23" t="s">
        <v>723</v>
      </c>
    </row>
    <row r="122" customFormat="false" ht="15" hidden="false" customHeight="false" outlineLevel="0" collapsed="false">
      <c r="A122" s="19" t="s">
        <v>724</v>
      </c>
      <c r="B122" s="19" t="s">
        <v>324</v>
      </c>
      <c r="C122" s="19" t="s">
        <v>49</v>
      </c>
      <c r="D122" s="19" t="s">
        <v>162</v>
      </c>
      <c r="E122" s="20" t="n">
        <v>1000</v>
      </c>
      <c r="F122" s="20" t="n">
        <v>9946600</v>
      </c>
      <c r="G122" s="21" t="n">
        <f aca="false">IFERROR(E122/F122,"")</f>
        <v>0.000100536866869081</v>
      </c>
      <c r="H122" s="19" t="s">
        <v>370</v>
      </c>
      <c r="I122" s="19" t="s">
        <v>414</v>
      </c>
      <c r="J122" s="19" t="s">
        <v>386</v>
      </c>
      <c r="K122" s="19" t="s">
        <v>400</v>
      </c>
      <c r="L122" s="19" t="s">
        <v>388</v>
      </c>
      <c r="M122" s="19"/>
      <c r="N122" s="19" t="s">
        <v>30</v>
      </c>
      <c r="O122" s="19"/>
      <c r="P122" s="19" t="s">
        <v>361</v>
      </c>
      <c r="Q122" s="19" t="s">
        <v>30</v>
      </c>
      <c r="R122" s="19"/>
      <c r="S122" s="22" t="s">
        <v>725</v>
      </c>
    </row>
    <row r="123" customFormat="false" ht="15" hidden="false" customHeight="false" outlineLevel="0" collapsed="false">
      <c r="A123" s="7" t="s">
        <v>726</v>
      </c>
      <c r="B123" s="7" t="s">
        <v>180</v>
      </c>
      <c r="C123" s="7" t="s">
        <v>57</v>
      </c>
      <c r="D123" s="7" t="s">
        <v>301</v>
      </c>
      <c r="E123" s="8" t="n">
        <v>420000</v>
      </c>
      <c r="F123" s="8" t="n">
        <v>4328000000</v>
      </c>
      <c r="G123" s="11" t="n">
        <f aca="false">IFERROR(E123/F123,"")</f>
        <v>9.70425138632163E-005</v>
      </c>
      <c r="H123" s="7" t="s">
        <v>480</v>
      </c>
      <c r="I123" s="7" t="s">
        <v>727</v>
      </c>
      <c r="J123" s="7" t="s">
        <v>358</v>
      </c>
      <c r="K123" s="7" t="s">
        <v>359</v>
      </c>
      <c r="L123" s="7" t="s">
        <v>377</v>
      </c>
      <c r="M123" s="7" t="s">
        <v>132</v>
      </c>
      <c r="N123" s="7" t="s">
        <v>133</v>
      </c>
      <c r="O123" s="7" t="s">
        <v>181</v>
      </c>
      <c r="P123" s="7" t="s">
        <v>361</v>
      </c>
      <c r="Q123" s="7" t="s">
        <v>165</v>
      </c>
      <c r="R123" s="7"/>
      <c r="S123" s="23" t="s">
        <v>728</v>
      </c>
    </row>
    <row r="124" customFormat="false" ht="15" hidden="false" customHeight="false" outlineLevel="0" collapsed="false">
      <c r="A124" s="19" t="s">
        <v>729</v>
      </c>
      <c r="B124" s="19" t="s">
        <v>34</v>
      </c>
      <c r="C124" s="19" t="s">
        <v>29</v>
      </c>
      <c r="D124" s="19" t="s">
        <v>140</v>
      </c>
      <c r="E124" s="20" t="n">
        <v>100000</v>
      </c>
      <c r="F124" s="20" t="n">
        <v>1051000000</v>
      </c>
      <c r="G124" s="21" t="n">
        <f aca="false">IFERROR(E124/F124,"")</f>
        <v>9.51474785918173E-005</v>
      </c>
      <c r="H124" s="19" t="s">
        <v>380</v>
      </c>
      <c r="I124" s="19" t="s">
        <v>432</v>
      </c>
      <c r="J124" s="19" t="s">
        <v>386</v>
      </c>
      <c r="K124" s="19" t="s">
        <v>400</v>
      </c>
      <c r="L124" s="19" t="s">
        <v>360</v>
      </c>
      <c r="M124" s="19" t="s">
        <v>132</v>
      </c>
      <c r="N124" s="19" t="s">
        <v>133</v>
      </c>
      <c r="O124" s="19" t="s">
        <v>134</v>
      </c>
      <c r="P124" s="19" t="s">
        <v>361</v>
      </c>
      <c r="Q124" s="19" t="s">
        <v>36</v>
      </c>
      <c r="R124" s="19"/>
      <c r="S124" s="22" t="s">
        <v>730</v>
      </c>
    </row>
    <row r="125" customFormat="false" ht="15" hidden="false" customHeight="false" outlineLevel="0" collapsed="false">
      <c r="A125" s="7" t="s">
        <v>731</v>
      </c>
      <c r="B125" s="7" t="s">
        <v>214</v>
      </c>
      <c r="C125" s="7" t="s">
        <v>29</v>
      </c>
      <c r="D125" s="7" t="s">
        <v>140</v>
      </c>
      <c r="E125" s="8" t="n">
        <v>2520000</v>
      </c>
      <c r="F125" s="8" t="n">
        <v>26932000000</v>
      </c>
      <c r="G125" s="11" t="n">
        <f aca="false">IFERROR(E125/F125,"")</f>
        <v>9.35689885637903E-005</v>
      </c>
      <c r="H125" s="7" t="s">
        <v>370</v>
      </c>
      <c r="I125" s="7" t="s">
        <v>732</v>
      </c>
      <c r="J125" s="7" t="s">
        <v>358</v>
      </c>
      <c r="K125" s="7" t="s">
        <v>359</v>
      </c>
      <c r="L125" s="7" t="s">
        <v>360</v>
      </c>
      <c r="M125" s="7"/>
      <c r="N125" s="7" t="s">
        <v>30</v>
      </c>
      <c r="O125" s="7"/>
      <c r="P125" s="7" t="s">
        <v>361</v>
      </c>
      <c r="Q125" s="7" t="s">
        <v>30</v>
      </c>
      <c r="R125" s="7"/>
      <c r="S125" s="23" t="s">
        <v>733</v>
      </c>
    </row>
    <row r="126" customFormat="false" ht="15" hidden="false" customHeight="false" outlineLevel="0" collapsed="false">
      <c r="A126" s="19" t="s">
        <v>734</v>
      </c>
      <c r="B126" s="19" t="s">
        <v>285</v>
      </c>
      <c r="C126" s="19" t="s">
        <v>286</v>
      </c>
      <c r="D126" s="19" t="s">
        <v>140</v>
      </c>
      <c r="E126" s="20" t="n">
        <v>25000</v>
      </c>
      <c r="F126" s="20" t="n">
        <v>284100000</v>
      </c>
      <c r="G126" s="21" t="n">
        <f aca="false">IFERROR(E126/F126,"")</f>
        <v>8.79971840901091E-005</v>
      </c>
      <c r="H126" s="19" t="s">
        <v>364</v>
      </c>
      <c r="I126" s="19" t="s">
        <v>404</v>
      </c>
      <c r="J126" s="19" t="s">
        <v>358</v>
      </c>
      <c r="K126" s="19" t="s">
        <v>400</v>
      </c>
      <c r="L126" s="19" t="s">
        <v>735</v>
      </c>
      <c r="M126" s="19"/>
      <c r="N126" s="19" t="s">
        <v>30</v>
      </c>
      <c r="O126" s="19"/>
      <c r="P126" s="19" t="s">
        <v>361</v>
      </c>
      <c r="Q126" s="19" t="s">
        <v>30</v>
      </c>
      <c r="R126" s="19"/>
      <c r="S126" s="22" t="s">
        <v>736</v>
      </c>
    </row>
    <row r="127" customFormat="false" ht="15" hidden="false" customHeight="false" outlineLevel="0" collapsed="false">
      <c r="A127" s="7" t="s">
        <v>737</v>
      </c>
      <c r="B127" s="7" t="s">
        <v>738</v>
      </c>
      <c r="C127" s="7" t="s">
        <v>29</v>
      </c>
      <c r="D127" s="7" t="s">
        <v>137</v>
      </c>
      <c r="E127" s="8" t="n">
        <v>1200000</v>
      </c>
      <c r="F127" s="8" t="n">
        <v>13842440000</v>
      </c>
      <c r="G127" s="11" t="n">
        <f aca="false">IFERROR(E127/F127,"")</f>
        <v>8.66899188293393E-005</v>
      </c>
      <c r="H127" s="7" t="s">
        <v>364</v>
      </c>
      <c r="I127" s="7" t="s">
        <v>519</v>
      </c>
      <c r="J127" s="7" t="s">
        <v>358</v>
      </c>
      <c r="K127" s="7" t="s">
        <v>359</v>
      </c>
      <c r="L127" s="7" t="s">
        <v>360</v>
      </c>
      <c r="M127" s="7"/>
      <c r="N127" s="7" t="s">
        <v>30</v>
      </c>
      <c r="O127" s="7"/>
      <c r="P127" s="7" t="s">
        <v>361</v>
      </c>
      <c r="Q127" s="7" t="s">
        <v>30</v>
      </c>
      <c r="R127" s="7"/>
      <c r="S127" s="23" t="s">
        <v>739</v>
      </c>
    </row>
    <row r="128" customFormat="false" ht="15" hidden="false" customHeight="false" outlineLevel="0" collapsed="false">
      <c r="A128" s="19" t="s">
        <v>740</v>
      </c>
      <c r="B128" s="19" t="s">
        <v>153</v>
      </c>
      <c r="C128" s="19" t="s">
        <v>70</v>
      </c>
      <c r="D128" s="19" t="s">
        <v>162</v>
      </c>
      <c r="E128" s="20" t="n">
        <v>85000</v>
      </c>
      <c r="F128" s="20" t="n">
        <v>995000000</v>
      </c>
      <c r="G128" s="21" t="n">
        <f aca="false">IFERROR(E128/F128,"")</f>
        <v>8.5427135678392E-005</v>
      </c>
      <c r="H128" s="19" t="s">
        <v>676</v>
      </c>
      <c r="I128" s="19" t="s">
        <v>414</v>
      </c>
      <c r="J128" s="19" t="s">
        <v>386</v>
      </c>
      <c r="K128" s="19" t="s">
        <v>400</v>
      </c>
      <c r="L128" s="19" t="s">
        <v>418</v>
      </c>
      <c r="M128" s="19"/>
      <c r="N128" s="19" t="s">
        <v>30</v>
      </c>
      <c r="O128" s="19"/>
      <c r="P128" s="19" t="s">
        <v>361</v>
      </c>
      <c r="Q128" s="19" t="s">
        <v>30</v>
      </c>
      <c r="R128" s="19"/>
      <c r="S128" s="22" t="s">
        <v>741</v>
      </c>
    </row>
    <row r="129" customFormat="false" ht="15" hidden="false" customHeight="false" outlineLevel="0" collapsed="false">
      <c r="A129" s="7" t="s">
        <v>742</v>
      </c>
      <c r="B129" s="7" t="s">
        <v>56</v>
      </c>
      <c r="C129" s="7" t="s">
        <v>57</v>
      </c>
      <c r="D129" s="7" t="s">
        <v>140</v>
      </c>
      <c r="E129" s="8" t="n">
        <v>120000</v>
      </c>
      <c r="F129" s="8" t="n">
        <v>1451400000</v>
      </c>
      <c r="G129" s="11" t="n">
        <f aca="false">IFERROR(E129/F129,"")</f>
        <v>8.26787928896238E-005</v>
      </c>
      <c r="H129" s="7" t="s">
        <v>487</v>
      </c>
      <c r="I129" s="7" t="s">
        <v>743</v>
      </c>
      <c r="J129" s="7" t="s">
        <v>358</v>
      </c>
      <c r="K129" s="7" t="s">
        <v>372</v>
      </c>
      <c r="L129" s="7" t="s">
        <v>377</v>
      </c>
      <c r="M129" s="7"/>
      <c r="N129" s="7" t="s">
        <v>30</v>
      </c>
      <c r="O129" s="7"/>
      <c r="P129" s="7" t="s">
        <v>361</v>
      </c>
      <c r="Q129" s="7" t="s">
        <v>30</v>
      </c>
      <c r="R129" s="7"/>
      <c r="S129" s="23" t="s">
        <v>744</v>
      </c>
    </row>
    <row r="130" customFormat="false" ht="15" hidden="false" customHeight="false" outlineLevel="0" collapsed="false">
      <c r="A130" s="19" t="s">
        <v>745</v>
      </c>
      <c r="B130" s="19" t="s">
        <v>156</v>
      </c>
      <c r="C130" s="19" t="s">
        <v>29</v>
      </c>
      <c r="D130" s="19" t="s">
        <v>132</v>
      </c>
      <c r="E130" s="20" t="n">
        <v>70000</v>
      </c>
      <c r="F130" s="20" t="n">
        <v>851671600</v>
      </c>
      <c r="G130" s="21" t="n">
        <f aca="false">IFERROR(E130/F130,"")</f>
        <v>8.21913047235578E-005</v>
      </c>
      <c r="H130" s="19" t="s">
        <v>364</v>
      </c>
      <c r="I130" s="19" t="s">
        <v>519</v>
      </c>
      <c r="J130" s="19" t="s">
        <v>358</v>
      </c>
      <c r="K130" s="19" t="s">
        <v>359</v>
      </c>
      <c r="L130" s="19" t="s">
        <v>360</v>
      </c>
      <c r="M130" s="19"/>
      <c r="N130" s="19" t="s">
        <v>30</v>
      </c>
      <c r="O130" s="19"/>
      <c r="P130" s="19" t="s">
        <v>361</v>
      </c>
      <c r="Q130" s="19" t="s">
        <v>30</v>
      </c>
      <c r="R130" s="19"/>
      <c r="S130" s="22" t="s">
        <v>746</v>
      </c>
    </row>
    <row r="131" customFormat="false" ht="15" hidden="false" customHeight="false" outlineLevel="0" collapsed="false">
      <c r="A131" s="7" t="s">
        <v>747</v>
      </c>
      <c r="B131" s="7" t="s">
        <v>194</v>
      </c>
      <c r="C131" s="7" t="s">
        <v>49</v>
      </c>
      <c r="D131" s="7" t="s">
        <v>132</v>
      </c>
      <c r="E131" s="8" t="n">
        <v>11000</v>
      </c>
      <c r="F131" s="8" t="n">
        <v>142266000</v>
      </c>
      <c r="G131" s="11" t="n">
        <f aca="false">IFERROR(E131/F131,"")</f>
        <v>7.73199499529051E-005</v>
      </c>
      <c r="H131" s="7" t="s">
        <v>364</v>
      </c>
      <c r="I131" s="7" t="s">
        <v>365</v>
      </c>
      <c r="J131" s="7" t="s">
        <v>358</v>
      </c>
      <c r="K131" s="7" t="s">
        <v>366</v>
      </c>
      <c r="L131" s="7" t="s">
        <v>388</v>
      </c>
      <c r="M131" s="7" t="s">
        <v>132</v>
      </c>
      <c r="N131" s="7" t="s">
        <v>133</v>
      </c>
      <c r="O131" s="7" t="s">
        <v>195</v>
      </c>
      <c r="P131" s="7" t="s">
        <v>361</v>
      </c>
      <c r="Q131" s="7" t="s">
        <v>165</v>
      </c>
      <c r="R131" s="7"/>
      <c r="S131" s="23" t="s">
        <v>748</v>
      </c>
    </row>
    <row r="132" customFormat="false" ht="15" hidden="false" customHeight="false" outlineLevel="0" collapsed="false">
      <c r="A132" s="19" t="s">
        <v>749</v>
      </c>
      <c r="B132" s="19" t="s">
        <v>153</v>
      </c>
      <c r="C132" s="19" t="s">
        <v>70</v>
      </c>
      <c r="D132" s="19" t="s">
        <v>162</v>
      </c>
      <c r="E132" s="20" t="n">
        <v>75000</v>
      </c>
      <c r="F132" s="20" t="n">
        <v>995000000</v>
      </c>
      <c r="G132" s="21" t="n">
        <f aca="false">IFERROR(E132/F132,"")</f>
        <v>7.53768844221106E-005</v>
      </c>
      <c r="H132" s="19" t="s">
        <v>676</v>
      </c>
      <c r="I132" s="19" t="s">
        <v>494</v>
      </c>
      <c r="J132" s="19" t="s">
        <v>358</v>
      </c>
      <c r="K132" s="19" t="s">
        <v>359</v>
      </c>
      <c r="L132" s="19" t="s">
        <v>418</v>
      </c>
      <c r="M132" s="19"/>
      <c r="N132" s="19" t="s">
        <v>30</v>
      </c>
      <c r="O132" s="19"/>
      <c r="P132" s="19" t="s">
        <v>361</v>
      </c>
      <c r="Q132" s="19" t="s">
        <v>30</v>
      </c>
      <c r="R132" s="19"/>
      <c r="S132" s="22" t="s">
        <v>750</v>
      </c>
    </row>
    <row r="133" customFormat="false" ht="15" hidden="false" customHeight="false" outlineLevel="0" collapsed="false">
      <c r="A133" s="7" t="s">
        <v>751</v>
      </c>
      <c r="B133" s="7" t="s">
        <v>151</v>
      </c>
      <c r="C133" s="7" t="s">
        <v>60</v>
      </c>
      <c r="D133" s="7" t="s">
        <v>132</v>
      </c>
      <c r="E133" s="8" t="n">
        <v>210000</v>
      </c>
      <c r="F133" s="8" t="n">
        <v>2800000000</v>
      </c>
      <c r="G133" s="11" t="n">
        <f aca="false">IFERROR(E133/F133,"")</f>
        <v>7.5E-005</v>
      </c>
      <c r="H133" s="7" t="s">
        <v>364</v>
      </c>
      <c r="I133" s="7" t="s">
        <v>752</v>
      </c>
      <c r="J133" s="7" t="s">
        <v>358</v>
      </c>
      <c r="K133" s="7" t="s">
        <v>372</v>
      </c>
      <c r="L133" s="7" t="s">
        <v>558</v>
      </c>
      <c r="M133" s="7" t="s">
        <v>137</v>
      </c>
      <c r="N133" s="7" t="s">
        <v>133</v>
      </c>
      <c r="O133" s="7" t="s">
        <v>152</v>
      </c>
      <c r="P133" s="7" t="s">
        <v>361</v>
      </c>
      <c r="Q133" s="7" t="s">
        <v>36</v>
      </c>
      <c r="R133" s="7"/>
      <c r="S133" s="23" t="s">
        <v>753</v>
      </c>
    </row>
    <row r="134" customFormat="false" ht="15" hidden="false" customHeight="false" outlineLevel="0" collapsed="false">
      <c r="A134" s="19" t="s">
        <v>754</v>
      </c>
      <c r="B134" s="19" t="s">
        <v>292</v>
      </c>
      <c r="C134" s="19" t="s">
        <v>49</v>
      </c>
      <c r="D134" s="19" t="s">
        <v>223</v>
      </c>
      <c r="E134" s="20" t="n">
        <v>11000</v>
      </c>
      <c r="F134" s="20" t="n">
        <v>150158400</v>
      </c>
      <c r="G134" s="21" t="n">
        <f aca="false">IFERROR(E134/F134,"")</f>
        <v>7.32559750237083E-005</v>
      </c>
      <c r="H134" s="19" t="s">
        <v>370</v>
      </c>
      <c r="I134" s="19" t="s">
        <v>414</v>
      </c>
      <c r="J134" s="19" t="s">
        <v>386</v>
      </c>
      <c r="K134" s="19" t="s">
        <v>400</v>
      </c>
      <c r="L134" s="19" t="s">
        <v>388</v>
      </c>
      <c r="M134" s="19"/>
      <c r="N134" s="19" t="s">
        <v>30</v>
      </c>
      <c r="O134" s="19"/>
      <c r="P134" s="19" t="s">
        <v>361</v>
      </c>
      <c r="Q134" s="19" t="s">
        <v>30</v>
      </c>
      <c r="R134" s="19"/>
      <c r="S134" s="22" t="s">
        <v>755</v>
      </c>
    </row>
    <row r="135" customFormat="false" ht="15" hidden="false" customHeight="false" outlineLevel="0" collapsed="false">
      <c r="A135" s="7" t="s">
        <v>756</v>
      </c>
      <c r="B135" s="7" t="s">
        <v>191</v>
      </c>
      <c r="C135" s="7" t="s">
        <v>49</v>
      </c>
      <c r="D135" s="7" t="s">
        <v>291</v>
      </c>
      <c r="E135" s="8" t="n">
        <v>28000</v>
      </c>
      <c r="F135" s="8" t="n">
        <v>394000000</v>
      </c>
      <c r="G135" s="11" t="n">
        <f aca="false">IFERROR(E135/F135,"")</f>
        <v>7.10659898477157E-005</v>
      </c>
      <c r="H135" s="7" t="s">
        <v>364</v>
      </c>
      <c r="I135" s="7" t="s">
        <v>757</v>
      </c>
      <c r="J135" s="7" t="s">
        <v>386</v>
      </c>
      <c r="K135" s="7" t="s">
        <v>400</v>
      </c>
      <c r="L135" s="7" t="s">
        <v>388</v>
      </c>
      <c r="M135" s="7"/>
      <c r="N135" s="7" t="s">
        <v>30</v>
      </c>
      <c r="O135" s="7"/>
      <c r="P135" s="7" t="s">
        <v>361</v>
      </c>
      <c r="Q135" s="7" t="s">
        <v>30</v>
      </c>
      <c r="R135" s="7"/>
      <c r="S135" s="23" t="s">
        <v>758</v>
      </c>
    </row>
    <row r="136" customFormat="false" ht="15" hidden="false" customHeight="false" outlineLevel="0" collapsed="false">
      <c r="A136" s="19" t="s">
        <v>759</v>
      </c>
      <c r="B136" s="19" t="s">
        <v>284</v>
      </c>
      <c r="C136" s="19" t="s">
        <v>49</v>
      </c>
      <c r="D136" s="19" t="s">
        <v>223</v>
      </c>
      <c r="E136" s="20" t="n">
        <v>20000</v>
      </c>
      <c r="F136" s="20" t="n">
        <v>302000000</v>
      </c>
      <c r="G136" s="21" t="n">
        <f aca="false">IFERROR(E136/F136,"")</f>
        <v>6.62251655629139E-005</v>
      </c>
      <c r="H136" s="19" t="s">
        <v>356</v>
      </c>
      <c r="I136" s="19" t="s">
        <v>414</v>
      </c>
      <c r="J136" s="19" t="s">
        <v>386</v>
      </c>
      <c r="K136" s="19" t="s">
        <v>400</v>
      </c>
      <c r="L136" s="19" t="s">
        <v>388</v>
      </c>
      <c r="M136" s="19"/>
      <c r="N136" s="19" t="s">
        <v>30</v>
      </c>
      <c r="O136" s="19"/>
      <c r="P136" s="19" t="s">
        <v>361</v>
      </c>
      <c r="Q136" s="19" t="s">
        <v>30</v>
      </c>
      <c r="R136" s="19"/>
      <c r="S136" s="22" t="s">
        <v>760</v>
      </c>
    </row>
    <row r="137" customFormat="false" ht="15" hidden="false" customHeight="false" outlineLevel="0" collapsed="false">
      <c r="A137" s="7" t="s">
        <v>761</v>
      </c>
      <c r="B137" s="7" t="s">
        <v>288</v>
      </c>
      <c r="C137" s="7" t="s">
        <v>762</v>
      </c>
      <c r="D137" s="7"/>
      <c r="E137" s="8" t="n">
        <v>12000</v>
      </c>
      <c r="F137" s="8" t="n">
        <v>186000000</v>
      </c>
      <c r="G137" s="11" t="n">
        <f aca="false">IFERROR(E137/F137,"")</f>
        <v>6.45161290322581E-005</v>
      </c>
      <c r="H137" s="7" t="s">
        <v>356</v>
      </c>
      <c r="I137" s="7" t="s">
        <v>414</v>
      </c>
      <c r="J137" s="7" t="s">
        <v>386</v>
      </c>
      <c r="K137" s="7" t="s">
        <v>400</v>
      </c>
      <c r="L137" s="7"/>
      <c r="M137" s="7"/>
      <c r="N137" s="7" t="s">
        <v>30</v>
      </c>
      <c r="O137" s="7"/>
      <c r="P137" s="7" t="s">
        <v>452</v>
      </c>
      <c r="Q137" s="7" t="s">
        <v>30</v>
      </c>
      <c r="R137" s="7"/>
      <c r="S137" s="7"/>
    </row>
    <row r="138" customFormat="false" ht="15" hidden="false" customHeight="false" outlineLevel="0" collapsed="false">
      <c r="A138" s="19" t="s">
        <v>763</v>
      </c>
      <c r="B138" s="19" t="s">
        <v>266</v>
      </c>
      <c r="C138" s="19" t="s">
        <v>108</v>
      </c>
      <c r="D138" s="19" t="s">
        <v>162</v>
      </c>
      <c r="E138" s="20" t="n">
        <v>100000</v>
      </c>
      <c r="F138" s="20" t="n">
        <v>1586100000</v>
      </c>
      <c r="G138" s="21" t="n">
        <f aca="false">IFERROR(E138/F138,"")</f>
        <v>6.3047727129437E-005</v>
      </c>
      <c r="H138" s="19" t="s">
        <v>356</v>
      </c>
      <c r="I138" s="19" t="s">
        <v>764</v>
      </c>
      <c r="J138" s="19" t="s">
        <v>358</v>
      </c>
      <c r="K138" s="19" t="s">
        <v>366</v>
      </c>
      <c r="L138" s="19" t="s">
        <v>367</v>
      </c>
      <c r="M138" s="19" t="s">
        <v>132</v>
      </c>
      <c r="N138" s="19" t="s">
        <v>133</v>
      </c>
      <c r="O138" s="19" t="s">
        <v>267</v>
      </c>
      <c r="P138" s="19" t="s">
        <v>361</v>
      </c>
      <c r="Q138" s="19" t="s">
        <v>165</v>
      </c>
      <c r="R138" s="19"/>
      <c r="S138" s="22" t="s">
        <v>765</v>
      </c>
    </row>
    <row r="139" customFormat="false" ht="15" hidden="false" customHeight="false" outlineLevel="0" collapsed="false">
      <c r="A139" s="7" t="s">
        <v>766</v>
      </c>
      <c r="B139" s="7" t="s">
        <v>32</v>
      </c>
      <c r="C139" s="7" t="s">
        <v>29</v>
      </c>
      <c r="D139" s="7" t="s">
        <v>140</v>
      </c>
      <c r="E139" s="8" t="n">
        <v>90000</v>
      </c>
      <c r="F139" s="8" t="n">
        <v>1451400000</v>
      </c>
      <c r="G139" s="11" t="n">
        <f aca="false">IFERROR(E139/F139,"")</f>
        <v>6.20090946672179E-005</v>
      </c>
      <c r="H139" s="7" t="s">
        <v>380</v>
      </c>
      <c r="I139" s="7" t="s">
        <v>767</v>
      </c>
      <c r="J139" s="7" t="s">
        <v>358</v>
      </c>
      <c r="K139" s="7" t="s">
        <v>400</v>
      </c>
      <c r="L139" s="7" t="s">
        <v>360</v>
      </c>
      <c r="M139" s="7"/>
      <c r="N139" s="7" t="s">
        <v>30</v>
      </c>
      <c r="O139" s="7"/>
      <c r="P139" s="7" t="s">
        <v>361</v>
      </c>
      <c r="Q139" s="7" t="s">
        <v>30</v>
      </c>
      <c r="R139" s="7"/>
      <c r="S139" s="23" t="s">
        <v>768</v>
      </c>
    </row>
    <row r="140" customFormat="false" ht="15" hidden="false" customHeight="false" outlineLevel="0" collapsed="false">
      <c r="A140" s="19" t="s">
        <v>769</v>
      </c>
      <c r="B140" s="19" t="s">
        <v>147</v>
      </c>
      <c r="C140" s="19" t="s">
        <v>29</v>
      </c>
      <c r="D140" s="19" t="s">
        <v>291</v>
      </c>
      <c r="E140" s="20" t="n">
        <v>10000000</v>
      </c>
      <c r="F140" s="20" t="n">
        <v>167154800000</v>
      </c>
      <c r="G140" s="21" t="n">
        <f aca="false">IFERROR(E140/F140,"")</f>
        <v>5.98247851691965E-005</v>
      </c>
      <c r="H140" s="19" t="s">
        <v>380</v>
      </c>
      <c r="I140" s="19" t="s">
        <v>770</v>
      </c>
      <c r="J140" s="19" t="s">
        <v>358</v>
      </c>
      <c r="K140" s="19" t="s">
        <v>359</v>
      </c>
      <c r="L140" s="19" t="s">
        <v>360</v>
      </c>
      <c r="M140" s="19"/>
      <c r="N140" s="19" t="s">
        <v>30</v>
      </c>
      <c r="O140" s="19"/>
      <c r="P140" s="19" t="s">
        <v>361</v>
      </c>
      <c r="Q140" s="19" t="s">
        <v>30</v>
      </c>
      <c r="R140" s="19"/>
      <c r="S140" s="22" t="s">
        <v>771</v>
      </c>
    </row>
    <row r="141" customFormat="false" ht="15" hidden="false" customHeight="false" outlineLevel="0" collapsed="false">
      <c r="A141" s="7" t="s">
        <v>772</v>
      </c>
      <c r="B141" s="7" t="s">
        <v>220</v>
      </c>
      <c r="C141" s="7" t="s">
        <v>204</v>
      </c>
      <c r="D141" s="7" t="s">
        <v>140</v>
      </c>
      <c r="E141" s="8" t="n">
        <v>900000</v>
      </c>
      <c r="F141" s="8" t="n">
        <v>15151000000</v>
      </c>
      <c r="G141" s="11" t="n">
        <f aca="false">IFERROR(E141/F141,"")</f>
        <v>5.94020196686687E-005</v>
      </c>
      <c r="H141" s="7" t="s">
        <v>356</v>
      </c>
      <c r="I141" s="7" t="s">
        <v>444</v>
      </c>
      <c r="J141" s="7" t="s">
        <v>358</v>
      </c>
      <c r="K141" s="7" t="s">
        <v>433</v>
      </c>
      <c r="L141" s="7" t="s">
        <v>524</v>
      </c>
      <c r="M141" s="7" t="s">
        <v>162</v>
      </c>
      <c r="N141" s="7" t="s">
        <v>145</v>
      </c>
      <c r="O141" s="7" t="s">
        <v>205</v>
      </c>
      <c r="P141" s="7" t="s">
        <v>361</v>
      </c>
      <c r="Q141" s="7" t="s">
        <v>36</v>
      </c>
      <c r="R141" s="7"/>
      <c r="S141" s="23" t="s">
        <v>773</v>
      </c>
    </row>
    <row r="142" customFormat="false" ht="15" hidden="false" customHeight="false" outlineLevel="0" collapsed="false">
      <c r="A142" s="19" t="s">
        <v>774</v>
      </c>
      <c r="B142" s="19" t="s">
        <v>282</v>
      </c>
      <c r="C142" s="19" t="s">
        <v>49</v>
      </c>
      <c r="D142" s="19" t="s">
        <v>223</v>
      </c>
      <c r="E142" s="20" t="n">
        <v>20000</v>
      </c>
      <c r="F142" s="20" t="n">
        <v>337096260</v>
      </c>
      <c r="G142" s="21" t="n">
        <f aca="false">IFERROR(E142/F142,"")</f>
        <v>5.93302340405675E-005</v>
      </c>
      <c r="H142" s="19" t="s">
        <v>364</v>
      </c>
      <c r="I142" s="19" t="s">
        <v>465</v>
      </c>
      <c r="J142" s="19" t="s">
        <v>386</v>
      </c>
      <c r="K142" s="19" t="s">
        <v>400</v>
      </c>
      <c r="L142" s="19" t="s">
        <v>388</v>
      </c>
      <c r="M142" s="19"/>
      <c r="N142" s="19" t="s">
        <v>30</v>
      </c>
      <c r="O142" s="19"/>
      <c r="P142" s="19" t="s">
        <v>361</v>
      </c>
      <c r="Q142" s="19" t="s">
        <v>30</v>
      </c>
      <c r="R142" s="19"/>
      <c r="S142" s="22" t="s">
        <v>775</v>
      </c>
    </row>
    <row r="143" customFormat="false" ht="15" hidden="false" customHeight="false" outlineLevel="0" collapsed="false">
      <c r="A143" s="7" t="s">
        <v>776</v>
      </c>
      <c r="B143" s="7" t="s">
        <v>261</v>
      </c>
      <c r="C143" s="7" t="s">
        <v>88</v>
      </c>
      <c r="D143" s="7" t="s">
        <v>162</v>
      </c>
      <c r="E143" s="8" t="n">
        <v>134000</v>
      </c>
      <c r="F143" s="8" t="n">
        <v>2287800000</v>
      </c>
      <c r="G143" s="11" t="n">
        <f aca="false">IFERROR(E143/F143,"")</f>
        <v>5.85715534574701E-005</v>
      </c>
      <c r="H143" s="7" t="s">
        <v>380</v>
      </c>
      <c r="I143" s="7" t="s">
        <v>414</v>
      </c>
      <c r="J143" s="7" t="s">
        <v>386</v>
      </c>
      <c r="K143" s="7" t="s">
        <v>400</v>
      </c>
      <c r="L143" s="7" t="s">
        <v>382</v>
      </c>
      <c r="M143" s="7"/>
      <c r="N143" s="7" t="s">
        <v>30</v>
      </c>
      <c r="O143" s="7"/>
      <c r="P143" s="7" t="s">
        <v>361</v>
      </c>
      <c r="Q143" s="7" t="s">
        <v>30</v>
      </c>
      <c r="R143" s="7"/>
      <c r="S143" s="23" t="s">
        <v>777</v>
      </c>
    </row>
    <row r="144" customFormat="false" ht="15" hidden="false" customHeight="false" outlineLevel="0" collapsed="false">
      <c r="A144" s="19" t="s">
        <v>778</v>
      </c>
      <c r="B144" s="19" t="s">
        <v>227</v>
      </c>
      <c r="C144" s="19" t="s">
        <v>178</v>
      </c>
      <c r="D144" s="19" t="s">
        <v>132</v>
      </c>
      <c r="E144" s="20" t="n">
        <v>600000</v>
      </c>
      <c r="F144" s="20" t="n">
        <v>10510000000</v>
      </c>
      <c r="G144" s="21" t="n">
        <f aca="false">IFERROR(E144/F144,"")</f>
        <v>5.70884871550904E-005</v>
      </c>
      <c r="H144" s="19" t="s">
        <v>380</v>
      </c>
      <c r="I144" s="19" t="s">
        <v>779</v>
      </c>
      <c r="J144" s="19" t="s">
        <v>358</v>
      </c>
      <c r="K144" s="19" t="s">
        <v>366</v>
      </c>
      <c r="L144" s="19" t="s">
        <v>429</v>
      </c>
      <c r="M144" s="19" t="s">
        <v>132</v>
      </c>
      <c r="N144" s="19" t="s">
        <v>135</v>
      </c>
      <c r="O144" s="19" t="s">
        <v>228</v>
      </c>
      <c r="P144" s="19" t="s">
        <v>361</v>
      </c>
      <c r="Q144" s="19" t="s">
        <v>165</v>
      </c>
      <c r="R144" s="19"/>
      <c r="S144" s="22" t="s">
        <v>780</v>
      </c>
    </row>
    <row r="145" customFormat="false" ht="15" hidden="false" customHeight="false" outlineLevel="0" collapsed="false">
      <c r="A145" s="7" t="s">
        <v>781</v>
      </c>
      <c r="B145" s="7" t="s">
        <v>34</v>
      </c>
      <c r="C145" s="7" t="s">
        <v>29</v>
      </c>
      <c r="D145" s="7" t="s">
        <v>162</v>
      </c>
      <c r="E145" s="8" t="n">
        <v>60000</v>
      </c>
      <c r="F145" s="8" t="n">
        <v>1051000000</v>
      </c>
      <c r="G145" s="11" t="n">
        <f aca="false">IFERROR(E145/F145,"")</f>
        <v>5.70884871550904E-005</v>
      </c>
      <c r="H145" s="7" t="s">
        <v>380</v>
      </c>
      <c r="I145" s="7" t="s">
        <v>494</v>
      </c>
      <c r="J145" s="7" t="s">
        <v>358</v>
      </c>
      <c r="K145" s="7" t="s">
        <v>359</v>
      </c>
      <c r="L145" s="7" t="s">
        <v>360</v>
      </c>
      <c r="M145" s="7" t="s">
        <v>132</v>
      </c>
      <c r="N145" s="7" t="s">
        <v>133</v>
      </c>
      <c r="O145" s="7" t="s">
        <v>134</v>
      </c>
      <c r="P145" s="7" t="s">
        <v>361</v>
      </c>
      <c r="Q145" s="7" t="s">
        <v>36</v>
      </c>
      <c r="R145" s="7"/>
      <c r="S145" s="23" t="s">
        <v>782</v>
      </c>
    </row>
    <row r="146" customFormat="false" ht="15" hidden="false" customHeight="false" outlineLevel="0" collapsed="false">
      <c r="A146" s="19" t="s">
        <v>783</v>
      </c>
      <c r="B146" s="19" t="s">
        <v>34</v>
      </c>
      <c r="C146" s="19" t="s">
        <v>29</v>
      </c>
      <c r="D146" s="19" t="s">
        <v>162</v>
      </c>
      <c r="E146" s="20" t="n">
        <v>60000</v>
      </c>
      <c r="F146" s="20" t="n">
        <v>1051000000</v>
      </c>
      <c r="G146" s="21" t="n">
        <f aca="false">IFERROR(E146/F146,"")</f>
        <v>5.70884871550904E-005</v>
      </c>
      <c r="H146" s="19" t="s">
        <v>380</v>
      </c>
      <c r="I146" s="19" t="s">
        <v>494</v>
      </c>
      <c r="J146" s="19" t="s">
        <v>358</v>
      </c>
      <c r="K146" s="19" t="s">
        <v>359</v>
      </c>
      <c r="L146" s="19" t="s">
        <v>360</v>
      </c>
      <c r="M146" s="19" t="s">
        <v>132</v>
      </c>
      <c r="N146" s="19" t="s">
        <v>133</v>
      </c>
      <c r="O146" s="19" t="s">
        <v>134</v>
      </c>
      <c r="P146" s="19" t="s">
        <v>361</v>
      </c>
      <c r="Q146" s="19" t="s">
        <v>36</v>
      </c>
      <c r="R146" s="19"/>
      <c r="S146" s="22" t="s">
        <v>784</v>
      </c>
    </row>
    <row r="147" customFormat="false" ht="15" hidden="false" customHeight="false" outlineLevel="0" collapsed="false">
      <c r="A147" s="7" t="s">
        <v>785</v>
      </c>
      <c r="B147" s="15" t="s">
        <v>257</v>
      </c>
      <c r="C147" s="7" t="s">
        <v>60</v>
      </c>
      <c r="D147" s="7" t="s">
        <v>132</v>
      </c>
      <c r="E147" s="8" t="n">
        <v>150000</v>
      </c>
      <c r="F147" s="8" t="n">
        <v>2790000000</v>
      </c>
      <c r="G147" s="11" t="n">
        <f aca="false">IFERROR(E147/F147,"")</f>
        <v>5.37634408602151E-005</v>
      </c>
      <c r="H147" s="7" t="s">
        <v>380</v>
      </c>
      <c r="I147" s="7" t="s">
        <v>786</v>
      </c>
      <c r="J147" s="7" t="s">
        <v>358</v>
      </c>
      <c r="K147" s="7" t="s">
        <v>366</v>
      </c>
      <c r="L147" s="7" t="s">
        <v>558</v>
      </c>
      <c r="M147" s="7" t="s">
        <v>132</v>
      </c>
      <c r="N147" s="7" t="s">
        <v>141</v>
      </c>
      <c r="O147" s="7" t="s">
        <v>258</v>
      </c>
      <c r="P147" s="7" t="s">
        <v>361</v>
      </c>
      <c r="Q147" s="7" t="s">
        <v>54</v>
      </c>
      <c r="R147" s="7"/>
      <c r="S147" s="23" t="s">
        <v>787</v>
      </c>
    </row>
    <row r="148" customFormat="false" ht="15" hidden="false" customHeight="false" outlineLevel="0" collapsed="false">
      <c r="A148" s="19" t="s">
        <v>788</v>
      </c>
      <c r="B148" s="19" t="s">
        <v>275</v>
      </c>
      <c r="C148" s="19" t="s">
        <v>789</v>
      </c>
      <c r="D148" s="19"/>
      <c r="E148" s="20" t="n">
        <v>40000</v>
      </c>
      <c r="F148" s="20" t="n">
        <v>748900000</v>
      </c>
      <c r="G148" s="21" t="n">
        <f aca="false">IFERROR(E148/F148,"")</f>
        <v>5.34116704499933E-005</v>
      </c>
      <c r="H148" s="19" t="s">
        <v>380</v>
      </c>
      <c r="I148" s="19" t="s">
        <v>414</v>
      </c>
      <c r="J148" s="19" t="s">
        <v>386</v>
      </c>
      <c r="K148" s="19" t="s">
        <v>400</v>
      </c>
      <c r="L148" s="19"/>
      <c r="M148" s="19"/>
      <c r="N148" s="19" t="s">
        <v>30</v>
      </c>
      <c r="O148" s="19"/>
      <c r="P148" s="19" t="s">
        <v>452</v>
      </c>
      <c r="Q148" s="19" t="s">
        <v>30</v>
      </c>
      <c r="R148" s="19"/>
      <c r="S148" s="19"/>
    </row>
    <row r="149" customFormat="false" ht="15" hidden="false" customHeight="false" outlineLevel="0" collapsed="false">
      <c r="A149" s="7" t="s">
        <v>790</v>
      </c>
      <c r="B149" s="7" t="s">
        <v>51</v>
      </c>
      <c r="C149" s="7" t="s">
        <v>29</v>
      </c>
      <c r="D149" s="7" t="s">
        <v>132</v>
      </c>
      <c r="E149" s="8" t="n">
        <v>56000</v>
      </c>
      <c r="F149" s="8" t="n">
        <v>1051000000</v>
      </c>
      <c r="G149" s="11" t="n">
        <f aca="false">IFERROR(E149/F149,"")</f>
        <v>5.32825880114177E-005</v>
      </c>
      <c r="H149" s="7" t="s">
        <v>380</v>
      </c>
      <c r="I149" s="7" t="s">
        <v>519</v>
      </c>
      <c r="J149" s="7" t="s">
        <v>358</v>
      </c>
      <c r="K149" s="7" t="s">
        <v>359</v>
      </c>
      <c r="L149" s="7" t="s">
        <v>360</v>
      </c>
      <c r="M149" s="7" t="s">
        <v>132</v>
      </c>
      <c r="N149" s="7" t="s">
        <v>133</v>
      </c>
      <c r="O149" s="7" t="s">
        <v>134</v>
      </c>
      <c r="P149" s="7" t="s">
        <v>361</v>
      </c>
      <c r="Q149" s="7" t="s">
        <v>36</v>
      </c>
      <c r="R149" s="7"/>
      <c r="S149" s="23" t="s">
        <v>791</v>
      </c>
    </row>
    <row r="150" customFormat="false" ht="15" hidden="false" customHeight="false" outlineLevel="0" collapsed="false">
      <c r="A150" s="19" t="s">
        <v>792</v>
      </c>
      <c r="B150" s="19" t="s">
        <v>32</v>
      </c>
      <c r="C150" s="19" t="s">
        <v>29</v>
      </c>
      <c r="D150" s="19" t="s">
        <v>162</v>
      </c>
      <c r="E150" s="20" t="n">
        <v>75000</v>
      </c>
      <c r="F150" s="20" t="n">
        <v>1451400000</v>
      </c>
      <c r="G150" s="21" t="n">
        <f aca="false">IFERROR(E150/F150,"")</f>
        <v>5.16742455560149E-005</v>
      </c>
      <c r="H150" s="19" t="s">
        <v>380</v>
      </c>
      <c r="I150" s="19" t="s">
        <v>519</v>
      </c>
      <c r="J150" s="19" t="s">
        <v>358</v>
      </c>
      <c r="K150" s="19" t="s">
        <v>359</v>
      </c>
      <c r="L150" s="19" t="s">
        <v>360</v>
      </c>
      <c r="M150" s="19"/>
      <c r="N150" s="19" t="s">
        <v>30</v>
      </c>
      <c r="O150" s="19"/>
      <c r="P150" s="19" t="s">
        <v>361</v>
      </c>
      <c r="Q150" s="19" t="s">
        <v>30</v>
      </c>
      <c r="R150" s="19"/>
      <c r="S150" s="22" t="s">
        <v>793</v>
      </c>
    </row>
    <row r="151" customFormat="false" ht="15" hidden="false" customHeight="false" outlineLevel="0" collapsed="false">
      <c r="A151" s="7" t="s">
        <v>794</v>
      </c>
      <c r="B151" s="7" t="s">
        <v>28</v>
      </c>
      <c r="C151" s="7" t="s">
        <v>29</v>
      </c>
      <c r="D151" s="7" t="s">
        <v>301</v>
      </c>
      <c r="E151" s="8" t="n">
        <v>200000</v>
      </c>
      <c r="F151" s="8" t="n">
        <v>4000000000</v>
      </c>
      <c r="G151" s="11" t="n">
        <f aca="false">IFERROR(E151/F151,"")</f>
        <v>5E-005</v>
      </c>
      <c r="H151" s="7" t="s">
        <v>380</v>
      </c>
      <c r="I151" s="7" t="s">
        <v>519</v>
      </c>
      <c r="J151" s="7" t="s">
        <v>358</v>
      </c>
      <c r="K151" s="7" t="s">
        <v>359</v>
      </c>
      <c r="L151" s="7" t="s">
        <v>360</v>
      </c>
      <c r="M151" s="7"/>
      <c r="N151" s="7" t="s">
        <v>30</v>
      </c>
      <c r="O151" s="7"/>
      <c r="P151" s="7" t="s">
        <v>361</v>
      </c>
      <c r="Q151" s="7" t="s">
        <v>30</v>
      </c>
      <c r="R151" s="7"/>
      <c r="S151" s="23" t="s">
        <v>795</v>
      </c>
    </row>
    <row r="152" customFormat="false" ht="15" hidden="false" customHeight="false" outlineLevel="0" collapsed="false">
      <c r="A152" s="19" t="s">
        <v>796</v>
      </c>
      <c r="B152" s="19" t="s">
        <v>28</v>
      </c>
      <c r="C152" s="19" t="s">
        <v>29</v>
      </c>
      <c r="D152" s="19" t="s">
        <v>301</v>
      </c>
      <c r="E152" s="20" t="n">
        <v>200000</v>
      </c>
      <c r="F152" s="20" t="n">
        <v>4000000000</v>
      </c>
      <c r="G152" s="21" t="n">
        <f aca="false">IFERROR(E152/F152,"")</f>
        <v>5E-005</v>
      </c>
      <c r="H152" s="19" t="s">
        <v>380</v>
      </c>
      <c r="I152" s="19" t="s">
        <v>519</v>
      </c>
      <c r="J152" s="19" t="s">
        <v>358</v>
      </c>
      <c r="K152" s="19" t="s">
        <v>359</v>
      </c>
      <c r="L152" s="19" t="s">
        <v>360</v>
      </c>
      <c r="M152" s="19"/>
      <c r="N152" s="19" t="s">
        <v>30</v>
      </c>
      <c r="O152" s="19"/>
      <c r="P152" s="19" t="s">
        <v>361</v>
      </c>
      <c r="Q152" s="19" t="s">
        <v>30</v>
      </c>
      <c r="R152" s="19"/>
      <c r="S152" s="22" t="s">
        <v>797</v>
      </c>
    </row>
    <row r="153" customFormat="false" ht="15" hidden="false" customHeight="false" outlineLevel="0" collapsed="false">
      <c r="A153" s="7" t="s">
        <v>798</v>
      </c>
      <c r="B153" s="7" t="s">
        <v>32</v>
      </c>
      <c r="C153" s="7" t="s">
        <v>29</v>
      </c>
      <c r="D153" s="7" t="s">
        <v>162</v>
      </c>
      <c r="E153" s="8" t="n">
        <v>70000</v>
      </c>
      <c r="F153" s="8" t="n">
        <v>1451400000</v>
      </c>
      <c r="G153" s="11" t="n">
        <f aca="false">IFERROR(E153/F153,"")</f>
        <v>4.82292958522806E-005</v>
      </c>
      <c r="H153" s="7" t="s">
        <v>380</v>
      </c>
      <c r="I153" s="7" t="s">
        <v>371</v>
      </c>
      <c r="J153" s="7" t="s">
        <v>358</v>
      </c>
      <c r="K153" s="7" t="s">
        <v>372</v>
      </c>
      <c r="L153" s="7" t="s">
        <v>360</v>
      </c>
      <c r="M153" s="7"/>
      <c r="N153" s="7" t="s">
        <v>30</v>
      </c>
      <c r="O153" s="7"/>
      <c r="P153" s="7" t="s">
        <v>361</v>
      </c>
      <c r="Q153" s="7" t="s">
        <v>30</v>
      </c>
      <c r="R153" s="7"/>
      <c r="S153" s="23" t="s">
        <v>799</v>
      </c>
    </row>
    <row r="154" customFormat="false" ht="15" hidden="false" customHeight="false" outlineLevel="0" collapsed="false">
      <c r="A154" s="19" t="s">
        <v>800</v>
      </c>
      <c r="B154" s="19" t="s">
        <v>801</v>
      </c>
      <c r="C154" s="19" t="s">
        <v>29</v>
      </c>
      <c r="D154" s="19" t="s">
        <v>137</v>
      </c>
      <c r="E154" s="20" t="n">
        <v>200000</v>
      </c>
      <c r="F154" s="20" t="n">
        <v>4166421000</v>
      </c>
      <c r="G154" s="21" t="n">
        <f aca="false">IFERROR(E154/F154,"")</f>
        <v>4.80028302468714E-005</v>
      </c>
      <c r="H154" s="19" t="s">
        <v>380</v>
      </c>
      <c r="I154" s="19" t="s">
        <v>519</v>
      </c>
      <c r="J154" s="19" t="s">
        <v>358</v>
      </c>
      <c r="K154" s="19" t="s">
        <v>359</v>
      </c>
      <c r="L154" s="19" t="s">
        <v>360</v>
      </c>
      <c r="M154" s="19"/>
      <c r="N154" s="19" t="s">
        <v>30</v>
      </c>
      <c r="O154" s="19"/>
      <c r="P154" s="19" t="s">
        <v>361</v>
      </c>
      <c r="Q154" s="19" t="s">
        <v>30</v>
      </c>
      <c r="R154" s="19"/>
      <c r="S154" s="22" t="s">
        <v>802</v>
      </c>
    </row>
    <row r="155" customFormat="false" ht="15" hidden="false" customHeight="false" outlineLevel="0" collapsed="false">
      <c r="A155" s="7" t="s">
        <v>803</v>
      </c>
      <c r="B155" s="7" t="s">
        <v>801</v>
      </c>
      <c r="C155" s="7" t="s">
        <v>29</v>
      </c>
      <c r="D155" s="7" t="s">
        <v>137</v>
      </c>
      <c r="E155" s="8" t="n">
        <v>200000</v>
      </c>
      <c r="F155" s="8" t="n">
        <v>4166421000</v>
      </c>
      <c r="G155" s="11" t="n">
        <f aca="false">IFERROR(E155/F155,"")</f>
        <v>4.80028302468714E-005</v>
      </c>
      <c r="H155" s="7" t="s">
        <v>380</v>
      </c>
      <c r="I155" s="7" t="s">
        <v>519</v>
      </c>
      <c r="J155" s="7" t="s">
        <v>358</v>
      </c>
      <c r="K155" s="7" t="s">
        <v>359</v>
      </c>
      <c r="L155" s="7" t="s">
        <v>360</v>
      </c>
      <c r="M155" s="7"/>
      <c r="N155" s="7" t="s">
        <v>30</v>
      </c>
      <c r="O155" s="7"/>
      <c r="P155" s="7" t="s">
        <v>361</v>
      </c>
      <c r="Q155" s="7" t="s">
        <v>30</v>
      </c>
      <c r="R155" s="7"/>
      <c r="S155" s="23" t="s">
        <v>804</v>
      </c>
    </row>
    <row r="156" customFormat="false" ht="15" hidden="false" customHeight="false" outlineLevel="0" collapsed="false">
      <c r="A156" s="19" t="s">
        <v>805</v>
      </c>
      <c r="B156" s="19" t="s">
        <v>28</v>
      </c>
      <c r="C156" s="19" t="s">
        <v>29</v>
      </c>
      <c r="D156" s="19" t="s">
        <v>137</v>
      </c>
      <c r="E156" s="20" t="n">
        <v>200000</v>
      </c>
      <c r="F156" s="20" t="n">
        <v>4166421000</v>
      </c>
      <c r="G156" s="21" t="n">
        <f aca="false">IFERROR(E156/F156,"")</f>
        <v>4.80028302468714E-005</v>
      </c>
      <c r="H156" s="19" t="s">
        <v>380</v>
      </c>
      <c r="I156" s="19" t="s">
        <v>519</v>
      </c>
      <c r="J156" s="19" t="s">
        <v>358</v>
      </c>
      <c r="K156" s="19" t="s">
        <v>359</v>
      </c>
      <c r="L156" s="19" t="s">
        <v>360</v>
      </c>
      <c r="M156" s="19"/>
      <c r="N156" s="19" t="s">
        <v>30</v>
      </c>
      <c r="O156" s="19"/>
      <c r="P156" s="19" t="s">
        <v>361</v>
      </c>
      <c r="Q156" s="19" t="s">
        <v>30</v>
      </c>
      <c r="R156" s="19"/>
      <c r="S156" s="22" t="s">
        <v>806</v>
      </c>
    </row>
    <row r="157" customFormat="false" ht="15" hidden="false" customHeight="false" outlineLevel="0" collapsed="false">
      <c r="A157" s="7" t="s">
        <v>807</v>
      </c>
      <c r="B157" s="7" t="s">
        <v>28</v>
      </c>
      <c r="C157" s="7" t="s">
        <v>29</v>
      </c>
      <c r="D157" s="7" t="s">
        <v>137</v>
      </c>
      <c r="E157" s="8" t="n">
        <v>200000</v>
      </c>
      <c r="F157" s="8" t="n">
        <v>4166421000</v>
      </c>
      <c r="G157" s="11" t="n">
        <f aca="false">IFERROR(E157/F157,"")</f>
        <v>4.80028302468714E-005</v>
      </c>
      <c r="H157" s="7" t="s">
        <v>380</v>
      </c>
      <c r="I157" s="7" t="s">
        <v>519</v>
      </c>
      <c r="J157" s="7" t="s">
        <v>358</v>
      </c>
      <c r="K157" s="7" t="s">
        <v>359</v>
      </c>
      <c r="L157" s="7" t="s">
        <v>360</v>
      </c>
      <c r="M157" s="7"/>
      <c r="N157" s="7" t="s">
        <v>30</v>
      </c>
      <c r="O157" s="7"/>
      <c r="P157" s="7" t="s">
        <v>361</v>
      </c>
      <c r="Q157" s="7" t="s">
        <v>30</v>
      </c>
      <c r="R157" s="7"/>
      <c r="S157" s="23" t="s">
        <v>808</v>
      </c>
    </row>
    <row r="158" customFormat="false" ht="15" hidden="false" customHeight="false" outlineLevel="0" collapsed="false">
      <c r="A158" s="19" t="s">
        <v>809</v>
      </c>
      <c r="B158" s="19" t="s">
        <v>28</v>
      </c>
      <c r="C158" s="19" t="s">
        <v>29</v>
      </c>
      <c r="D158" s="19" t="s">
        <v>137</v>
      </c>
      <c r="E158" s="20" t="n">
        <v>200000</v>
      </c>
      <c r="F158" s="20" t="n">
        <v>4166421000</v>
      </c>
      <c r="G158" s="21" t="n">
        <f aca="false">IFERROR(E158/F158,"")</f>
        <v>4.80028302468714E-005</v>
      </c>
      <c r="H158" s="19" t="s">
        <v>380</v>
      </c>
      <c r="I158" s="19" t="s">
        <v>519</v>
      </c>
      <c r="J158" s="19" t="s">
        <v>358</v>
      </c>
      <c r="K158" s="19" t="s">
        <v>359</v>
      </c>
      <c r="L158" s="19" t="s">
        <v>360</v>
      </c>
      <c r="M158" s="19"/>
      <c r="N158" s="19" t="s">
        <v>30</v>
      </c>
      <c r="O158" s="19"/>
      <c r="P158" s="19" t="s">
        <v>361</v>
      </c>
      <c r="Q158" s="19" t="s">
        <v>30</v>
      </c>
      <c r="R158" s="19"/>
      <c r="S158" s="22" t="s">
        <v>810</v>
      </c>
    </row>
    <row r="159" customFormat="false" ht="15" hidden="false" customHeight="false" outlineLevel="0" collapsed="false">
      <c r="A159" s="7" t="s">
        <v>811</v>
      </c>
      <c r="B159" s="7" t="s">
        <v>28</v>
      </c>
      <c r="C159" s="7" t="s">
        <v>29</v>
      </c>
      <c r="D159" s="7" t="s">
        <v>137</v>
      </c>
      <c r="E159" s="8" t="n">
        <v>200000</v>
      </c>
      <c r="F159" s="8" t="n">
        <v>4166421000</v>
      </c>
      <c r="G159" s="11" t="n">
        <f aca="false">IFERROR(E159/F159,"")</f>
        <v>4.80028302468714E-005</v>
      </c>
      <c r="H159" s="7" t="s">
        <v>380</v>
      </c>
      <c r="I159" s="7" t="s">
        <v>519</v>
      </c>
      <c r="J159" s="7" t="s">
        <v>358</v>
      </c>
      <c r="K159" s="7" t="s">
        <v>359</v>
      </c>
      <c r="L159" s="7" t="s">
        <v>360</v>
      </c>
      <c r="M159" s="7"/>
      <c r="N159" s="7" t="s">
        <v>30</v>
      </c>
      <c r="O159" s="7"/>
      <c r="P159" s="7" t="s">
        <v>361</v>
      </c>
      <c r="Q159" s="7" t="s">
        <v>30</v>
      </c>
      <c r="R159" s="7"/>
      <c r="S159" s="23" t="s">
        <v>812</v>
      </c>
    </row>
    <row r="160" customFormat="false" ht="15" hidden="false" customHeight="false" outlineLevel="0" collapsed="false">
      <c r="A160" s="19" t="s">
        <v>813</v>
      </c>
      <c r="B160" s="19" t="s">
        <v>28</v>
      </c>
      <c r="C160" s="19" t="s">
        <v>29</v>
      </c>
      <c r="D160" s="19" t="s">
        <v>137</v>
      </c>
      <c r="E160" s="20" t="n">
        <v>200000</v>
      </c>
      <c r="F160" s="20" t="n">
        <v>4166421000</v>
      </c>
      <c r="G160" s="21" t="n">
        <f aca="false">IFERROR(E160/F160,"")</f>
        <v>4.80028302468714E-005</v>
      </c>
      <c r="H160" s="19" t="s">
        <v>380</v>
      </c>
      <c r="I160" s="19" t="s">
        <v>385</v>
      </c>
      <c r="J160" s="19" t="s">
        <v>386</v>
      </c>
      <c r="K160" s="19" t="s">
        <v>387</v>
      </c>
      <c r="L160" s="19" t="s">
        <v>360</v>
      </c>
      <c r="M160" s="19"/>
      <c r="N160" s="19" t="s">
        <v>30</v>
      </c>
      <c r="O160" s="19"/>
      <c r="P160" s="19" t="s">
        <v>361</v>
      </c>
      <c r="Q160" s="19" t="s">
        <v>30</v>
      </c>
      <c r="R160" s="19"/>
      <c r="S160" s="22" t="s">
        <v>814</v>
      </c>
    </row>
    <row r="161" customFormat="false" ht="15" hidden="false" customHeight="false" outlineLevel="0" collapsed="false">
      <c r="A161" s="7" t="s">
        <v>815</v>
      </c>
      <c r="B161" s="7" t="s">
        <v>186</v>
      </c>
      <c r="C161" s="7" t="s">
        <v>29</v>
      </c>
      <c r="D161" s="7" t="s">
        <v>162</v>
      </c>
      <c r="E161" s="8" t="n">
        <v>75000</v>
      </c>
      <c r="F161" s="8" t="n">
        <v>1642129000</v>
      </c>
      <c r="G161" s="11" t="n">
        <f aca="false">IFERROR(E161/F161,"")</f>
        <v>4.56724167224378E-005</v>
      </c>
      <c r="H161" s="7" t="s">
        <v>356</v>
      </c>
      <c r="I161" s="7" t="s">
        <v>519</v>
      </c>
      <c r="J161" s="7" t="s">
        <v>358</v>
      </c>
      <c r="K161" s="7" t="s">
        <v>359</v>
      </c>
      <c r="L161" s="7" t="s">
        <v>360</v>
      </c>
      <c r="M161" s="7"/>
      <c r="N161" s="7" t="s">
        <v>30</v>
      </c>
      <c r="O161" s="7"/>
      <c r="P161" s="7" t="s">
        <v>361</v>
      </c>
      <c r="Q161" s="7" t="s">
        <v>30</v>
      </c>
      <c r="R161" s="7"/>
      <c r="S161" s="23" t="s">
        <v>816</v>
      </c>
    </row>
    <row r="162" customFormat="false" ht="15" hidden="false" customHeight="false" outlineLevel="0" collapsed="false">
      <c r="A162" s="19" t="s">
        <v>817</v>
      </c>
      <c r="B162" s="19" t="s">
        <v>158</v>
      </c>
      <c r="C162" s="19" t="s">
        <v>57</v>
      </c>
      <c r="D162" s="19" t="s">
        <v>223</v>
      </c>
      <c r="E162" s="20" t="n">
        <v>3000000</v>
      </c>
      <c r="F162" s="20" t="n">
        <v>69881000000</v>
      </c>
      <c r="G162" s="21" t="n">
        <f aca="false">IFERROR(E162/F162,"")</f>
        <v>4.29301240680586E-005</v>
      </c>
      <c r="H162" s="19" t="s">
        <v>356</v>
      </c>
      <c r="I162" s="19" t="s">
        <v>494</v>
      </c>
      <c r="J162" s="19" t="s">
        <v>358</v>
      </c>
      <c r="K162" s="19" t="s">
        <v>359</v>
      </c>
      <c r="L162" s="19" t="s">
        <v>377</v>
      </c>
      <c r="M162" s="19"/>
      <c r="N162" s="19" t="s">
        <v>30</v>
      </c>
      <c r="O162" s="19"/>
      <c r="P162" s="19" t="s">
        <v>361</v>
      </c>
      <c r="Q162" s="19" t="s">
        <v>30</v>
      </c>
      <c r="R162" s="19"/>
      <c r="S162" s="22" t="s">
        <v>818</v>
      </c>
    </row>
    <row r="163" customFormat="false" ht="15" hidden="false" customHeight="false" outlineLevel="0" collapsed="false">
      <c r="A163" s="7" t="s">
        <v>819</v>
      </c>
      <c r="B163" s="7" t="s">
        <v>820</v>
      </c>
      <c r="C163" s="7" t="s">
        <v>29</v>
      </c>
      <c r="D163" s="7" t="s">
        <v>162</v>
      </c>
      <c r="E163" s="8" t="n">
        <v>45000</v>
      </c>
      <c r="F163" s="8" t="n">
        <v>1051000000</v>
      </c>
      <c r="G163" s="11" t="n">
        <f aca="false">IFERROR(E163/F163,"")</f>
        <v>4.28163653663178E-005</v>
      </c>
      <c r="H163" s="7" t="s">
        <v>380</v>
      </c>
      <c r="I163" s="7" t="s">
        <v>494</v>
      </c>
      <c r="J163" s="7" t="s">
        <v>358</v>
      </c>
      <c r="K163" s="7" t="s">
        <v>359</v>
      </c>
      <c r="L163" s="7" t="s">
        <v>360</v>
      </c>
      <c r="M163" s="7" t="s">
        <v>132</v>
      </c>
      <c r="N163" s="7" t="s">
        <v>133</v>
      </c>
      <c r="O163" s="7" t="s">
        <v>134</v>
      </c>
      <c r="P163" s="7" t="s">
        <v>361</v>
      </c>
      <c r="Q163" s="7" t="s">
        <v>36</v>
      </c>
      <c r="R163" s="7"/>
      <c r="S163" s="23" t="s">
        <v>821</v>
      </c>
    </row>
    <row r="164" customFormat="false" ht="15" hidden="false" customHeight="false" outlineLevel="0" collapsed="false">
      <c r="A164" s="19" t="s">
        <v>822</v>
      </c>
      <c r="B164" s="19" t="s">
        <v>32</v>
      </c>
      <c r="C164" s="19" t="s">
        <v>29</v>
      </c>
      <c r="D164" s="19" t="s">
        <v>223</v>
      </c>
      <c r="E164" s="20" t="n">
        <v>60000</v>
      </c>
      <c r="F164" s="20" t="n">
        <v>1451400000</v>
      </c>
      <c r="G164" s="21" t="n">
        <f aca="false">IFERROR(E164/F164,"")</f>
        <v>4.13393964448119E-005</v>
      </c>
      <c r="H164" s="19" t="s">
        <v>380</v>
      </c>
      <c r="I164" s="19" t="s">
        <v>414</v>
      </c>
      <c r="J164" s="19" t="s">
        <v>386</v>
      </c>
      <c r="K164" s="19" t="s">
        <v>400</v>
      </c>
      <c r="L164" s="19" t="s">
        <v>360</v>
      </c>
      <c r="M164" s="19"/>
      <c r="N164" s="19" t="s">
        <v>30</v>
      </c>
      <c r="O164" s="19"/>
      <c r="P164" s="19" t="s">
        <v>361</v>
      </c>
      <c r="Q164" s="19" t="s">
        <v>30</v>
      </c>
      <c r="R164" s="19"/>
      <c r="S164" s="22" t="s">
        <v>823</v>
      </c>
    </row>
    <row r="165" customFormat="false" ht="15" hidden="false" customHeight="false" outlineLevel="0" collapsed="false">
      <c r="A165" s="7" t="s">
        <v>824</v>
      </c>
      <c r="B165" s="7" t="s">
        <v>32</v>
      </c>
      <c r="C165" s="7" t="s">
        <v>29</v>
      </c>
      <c r="D165" s="7" t="s">
        <v>162</v>
      </c>
      <c r="E165" s="8" t="n">
        <v>60000</v>
      </c>
      <c r="F165" s="8" t="n">
        <v>1451400000</v>
      </c>
      <c r="G165" s="11" t="n">
        <f aca="false">IFERROR(E165/F165,"")</f>
        <v>4.13393964448119E-005</v>
      </c>
      <c r="H165" s="7" t="s">
        <v>380</v>
      </c>
      <c r="I165" s="7" t="s">
        <v>494</v>
      </c>
      <c r="J165" s="7" t="s">
        <v>358</v>
      </c>
      <c r="K165" s="7" t="s">
        <v>359</v>
      </c>
      <c r="L165" s="7" t="s">
        <v>360</v>
      </c>
      <c r="M165" s="7"/>
      <c r="N165" s="7" t="s">
        <v>30</v>
      </c>
      <c r="O165" s="7"/>
      <c r="P165" s="7" t="s">
        <v>361</v>
      </c>
      <c r="Q165" s="7" t="s">
        <v>30</v>
      </c>
      <c r="R165" s="7"/>
      <c r="S165" s="23" t="s">
        <v>825</v>
      </c>
    </row>
    <row r="166" customFormat="false" ht="15" hidden="false" customHeight="false" outlineLevel="0" collapsed="false">
      <c r="A166" s="19" t="s">
        <v>826</v>
      </c>
      <c r="B166" s="19" t="s">
        <v>32</v>
      </c>
      <c r="C166" s="19" t="s">
        <v>29</v>
      </c>
      <c r="D166" s="19" t="s">
        <v>162</v>
      </c>
      <c r="E166" s="20" t="n">
        <v>60000</v>
      </c>
      <c r="F166" s="20" t="n">
        <v>1451400000</v>
      </c>
      <c r="G166" s="21" t="n">
        <f aca="false">IFERROR(E166/F166,"")</f>
        <v>4.13393964448119E-005</v>
      </c>
      <c r="H166" s="19" t="s">
        <v>380</v>
      </c>
      <c r="I166" s="19" t="s">
        <v>494</v>
      </c>
      <c r="J166" s="19" t="s">
        <v>358</v>
      </c>
      <c r="K166" s="19" t="s">
        <v>359</v>
      </c>
      <c r="L166" s="19" t="s">
        <v>360</v>
      </c>
      <c r="M166" s="19"/>
      <c r="N166" s="19" t="s">
        <v>30</v>
      </c>
      <c r="O166" s="19"/>
      <c r="P166" s="19" t="s">
        <v>361</v>
      </c>
      <c r="Q166" s="19" t="s">
        <v>30</v>
      </c>
      <c r="R166" s="19"/>
      <c r="S166" s="22" t="s">
        <v>827</v>
      </c>
    </row>
    <row r="167" customFormat="false" ht="15" hidden="false" customHeight="false" outlineLevel="0" collapsed="false">
      <c r="A167" s="7" t="s">
        <v>828</v>
      </c>
      <c r="B167" s="7" t="s">
        <v>32</v>
      </c>
      <c r="C167" s="7" t="s">
        <v>29</v>
      </c>
      <c r="D167" s="7" t="s">
        <v>223</v>
      </c>
      <c r="E167" s="8" t="n">
        <v>60000</v>
      </c>
      <c r="F167" s="8" t="n">
        <v>1451400000</v>
      </c>
      <c r="G167" s="11" t="n">
        <f aca="false">IFERROR(E167/F167,"")</f>
        <v>4.13393964448119E-005</v>
      </c>
      <c r="H167" s="7" t="s">
        <v>380</v>
      </c>
      <c r="I167" s="7" t="s">
        <v>494</v>
      </c>
      <c r="J167" s="7" t="s">
        <v>358</v>
      </c>
      <c r="K167" s="7" t="s">
        <v>359</v>
      </c>
      <c r="L167" s="7" t="s">
        <v>360</v>
      </c>
      <c r="M167" s="7"/>
      <c r="N167" s="7" t="s">
        <v>30</v>
      </c>
      <c r="O167" s="7"/>
      <c r="P167" s="7" t="s">
        <v>361</v>
      </c>
      <c r="Q167" s="7" t="s">
        <v>30</v>
      </c>
      <c r="R167" s="7"/>
      <c r="S167" s="23" t="s">
        <v>829</v>
      </c>
    </row>
    <row r="168" customFormat="false" ht="15" hidden="false" customHeight="false" outlineLevel="0" collapsed="false">
      <c r="A168" s="19" t="s">
        <v>830</v>
      </c>
      <c r="B168" s="19" t="s">
        <v>153</v>
      </c>
      <c r="C168" s="19" t="s">
        <v>70</v>
      </c>
      <c r="D168" s="19" t="s">
        <v>162</v>
      </c>
      <c r="E168" s="20" t="n">
        <v>40000</v>
      </c>
      <c r="F168" s="20" t="n">
        <v>995000000</v>
      </c>
      <c r="G168" s="21" t="n">
        <f aca="false">IFERROR(E168/F168,"")</f>
        <v>4.02010050251256E-005</v>
      </c>
      <c r="H168" s="19" t="s">
        <v>676</v>
      </c>
      <c r="I168" s="19" t="s">
        <v>687</v>
      </c>
      <c r="J168" s="19" t="s">
        <v>386</v>
      </c>
      <c r="K168" s="19" t="s">
        <v>405</v>
      </c>
      <c r="L168" s="19" t="s">
        <v>418</v>
      </c>
      <c r="M168" s="19"/>
      <c r="N168" s="19" t="s">
        <v>30</v>
      </c>
      <c r="O168" s="19"/>
      <c r="P168" s="19" t="s">
        <v>361</v>
      </c>
      <c r="Q168" s="19" t="s">
        <v>30</v>
      </c>
      <c r="R168" s="19"/>
      <c r="S168" s="22" t="s">
        <v>831</v>
      </c>
    </row>
    <row r="169" customFormat="false" ht="15" hidden="false" customHeight="false" outlineLevel="0" collapsed="false">
      <c r="A169" s="7" t="s">
        <v>832</v>
      </c>
      <c r="B169" s="7" t="s">
        <v>41</v>
      </c>
      <c r="C169" s="7" t="s">
        <v>29</v>
      </c>
      <c r="D169" s="7" t="s">
        <v>132</v>
      </c>
      <c r="E169" s="8" t="n">
        <v>800000</v>
      </c>
      <c r="F169" s="8" t="n">
        <v>20000000000</v>
      </c>
      <c r="G169" s="11" t="n">
        <f aca="false">IFERROR(E169/F169,"")</f>
        <v>4E-005</v>
      </c>
      <c r="H169" s="7" t="s">
        <v>364</v>
      </c>
      <c r="I169" s="7" t="s">
        <v>757</v>
      </c>
      <c r="J169" s="7" t="s">
        <v>386</v>
      </c>
      <c r="K169" s="7" t="s">
        <v>400</v>
      </c>
      <c r="L169" s="7" t="s">
        <v>360</v>
      </c>
      <c r="M169" s="7"/>
      <c r="N169" s="7" t="s">
        <v>30</v>
      </c>
      <c r="O169" s="7"/>
      <c r="P169" s="7" t="s">
        <v>361</v>
      </c>
      <c r="Q169" s="7" t="s">
        <v>30</v>
      </c>
      <c r="R169" s="7"/>
      <c r="S169" s="23" t="s">
        <v>833</v>
      </c>
    </row>
    <row r="170" customFormat="false" ht="15" hidden="false" customHeight="false" outlineLevel="0" collapsed="false">
      <c r="A170" s="19" t="s">
        <v>834</v>
      </c>
      <c r="B170" s="19" t="s">
        <v>38</v>
      </c>
      <c r="C170" s="19" t="s">
        <v>238</v>
      </c>
      <c r="D170" s="19" t="s">
        <v>140</v>
      </c>
      <c r="E170" s="20" t="n">
        <v>75000</v>
      </c>
      <c r="F170" s="20" t="n">
        <v>1878000000</v>
      </c>
      <c r="G170" s="21" t="n">
        <f aca="false">IFERROR(E170/F170,"")</f>
        <v>3.99361022364217E-005</v>
      </c>
      <c r="H170" s="19" t="s">
        <v>364</v>
      </c>
      <c r="I170" s="19" t="s">
        <v>835</v>
      </c>
      <c r="J170" s="19" t="s">
        <v>386</v>
      </c>
      <c r="K170" s="19" t="s">
        <v>473</v>
      </c>
      <c r="L170" s="19" t="s">
        <v>456</v>
      </c>
      <c r="M170" s="19"/>
      <c r="N170" s="19" t="s">
        <v>30</v>
      </c>
      <c r="O170" s="19"/>
      <c r="P170" s="19" t="s">
        <v>361</v>
      </c>
      <c r="Q170" s="19" t="s">
        <v>30</v>
      </c>
      <c r="R170" s="19"/>
      <c r="S170" s="22" t="s">
        <v>836</v>
      </c>
    </row>
    <row r="171" customFormat="false" ht="15" hidden="false" customHeight="false" outlineLevel="0" collapsed="false">
      <c r="A171" s="7" t="s">
        <v>837</v>
      </c>
      <c r="B171" s="7" t="s">
        <v>38</v>
      </c>
      <c r="C171" s="7" t="s">
        <v>105</v>
      </c>
      <c r="D171" s="7" t="s">
        <v>291</v>
      </c>
      <c r="E171" s="8" t="n">
        <v>72500</v>
      </c>
      <c r="F171" s="8" t="n">
        <v>1878000000</v>
      </c>
      <c r="G171" s="11" t="n">
        <f aca="false">IFERROR(E171/F171,"")</f>
        <v>3.8604898828541E-005</v>
      </c>
      <c r="H171" s="7" t="s">
        <v>364</v>
      </c>
      <c r="I171" s="7" t="s">
        <v>838</v>
      </c>
      <c r="J171" s="7" t="s">
        <v>358</v>
      </c>
      <c r="K171" s="7" t="s">
        <v>359</v>
      </c>
      <c r="L171" s="7" t="s">
        <v>401</v>
      </c>
      <c r="M171" s="7"/>
      <c r="N171" s="7" t="s">
        <v>30</v>
      </c>
      <c r="O171" s="7"/>
      <c r="P171" s="7" t="s">
        <v>361</v>
      </c>
      <c r="Q171" s="7" t="s">
        <v>30</v>
      </c>
      <c r="R171" s="7"/>
      <c r="S171" s="23" t="s">
        <v>839</v>
      </c>
    </row>
    <row r="172" customFormat="false" ht="15" hidden="false" customHeight="false" outlineLevel="0" collapsed="false">
      <c r="A172" s="19" t="s">
        <v>840</v>
      </c>
      <c r="B172" s="19" t="s">
        <v>191</v>
      </c>
      <c r="C172" s="19" t="s">
        <v>49</v>
      </c>
      <c r="D172" s="19" t="s">
        <v>223</v>
      </c>
      <c r="E172" s="20" t="n">
        <v>15000</v>
      </c>
      <c r="F172" s="20" t="n">
        <v>394000000</v>
      </c>
      <c r="G172" s="21" t="n">
        <f aca="false">IFERROR(E172/F172,"")</f>
        <v>3.80710659898477E-005</v>
      </c>
      <c r="H172" s="19" t="s">
        <v>364</v>
      </c>
      <c r="I172" s="19" t="s">
        <v>414</v>
      </c>
      <c r="J172" s="19" t="s">
        <v>386</v>
      </c>
      <c r="K172" s="19" t="s">
        <v>400</v>
      </c>
      <c r="L172" s="19" t="s">
        <v>388</v>
      </c>
      <c r="M172" s="19"/>
      <c r="N172" s="19" t="s">
        <v>30</v>
      </c>
      <c r="O172" s="19"/>
      <c r="P172" s="19" t="s">
        <v>361</v>
      </c>
      <c r="Q172" s="19" t="s">
        <v>30</v>
      </c>
      <c r="R172" s="19"/>
      <c r="S172" s="22" t="s">
        <v>841</v>
      </c>
    </row>
    <row r="173" customFormat="false" ht="15" hidden="false" customHeight="false" outlineLevel="0" collapsed="false">
      <c r="A173" s="7" t="s">
        <v>842</v>
      </c>
      <c r="B173" s="7" t="s">
        <v>843</v>
      </c>
      <c r="C173" s="7" t="s">
        <v>60</v>
      </c>
      <c r="D173" s="7" t="s">
        <v>132</v>
      </c>
      <c r="E173" s="8" t="n">
        <v>40000</v>
      </c>
      <c r="F173" s="8" t="n">
        <v>1051000000</v>
      </c>
      <c r="G173" s="11" t="n">
        <f aca="false">IFERROR(E173/F173,"")</f>
        <v>3.80589914367269E-005</v>
      </c>
      <c r="H173" s="7" t="s">
        <v>380</v>
      </c>
      <c r="I173" s="7" t="s">
        <v>844</v>
      </c>
      <c r="J173" s="7" t="s">
        <v>358</v>
      </c>
      <c r="K173" s="7" t="s">
        <v>405</v>
      </c>
      <c r="L173" s="7" t="s">
        <v>558</v>
      </c>
      <c r="M173" s="7" t="s">
        <v>132</v>
      </c>
      <c r="N173" s="7" t="s">
        <v>133</v>
      </c>
      <c r="O173" s="7" t="s">
        <v>134</v>
      </c>
      <c r="P173" s="7" t="s">
        <v>361</v>
      </c>
      <c r="Q173" s="7" t="s">
        <v>36</v>
      </c>
      <c r="R173" s="7"/>
      <c r="S173" s="23" t="s">
        <v>845</v>
      </c>
    </row>
    <row r="174" customFormat="false" ht="15" hidden="false" customHeight="false" outlineLevel="0" collapsed="false">
      <c r="A174" s="19" t="s">
        <v>846</v>
      </c>
      <c r="B174" s="19" t="s">
        <v>34</v>
      </c>
      <c r="C174" s="19" t="s">
        <v>29</v>
      </c>
      <c r="D174" s="19" t="s">
        <v>140</v>
      </c>
      <c r="E174" s="20" t="n">
        <v>40000</v>
      </c>
      <c r="F174" s="20" t="n">
        <v>1051000000</v>
      </c>
      <c r="G174" s="21" t="n">
        <f aca="false">IFERROR(E174/F174,"")</f>
        <v>3.80589914367269E-005</v>
      </c>
      <c r="H174" s="19" t="s">
        <v>380</v>
      </c>
      <c r="I174" s="19" t="s">
        <v>519</v>
      </c>
      <c r="J174" s="19" t="s">
        <v>358</v>
      </c>
      <c r="K174" s="19" t="s">
        <v>359</v>
      </c>
      <c r="L174" s="19" t="s">
        <v>360</v>
      </c>
      <c r="M174" s="19" t="s">
        <v>132</v>
      </c>
      <c r="N174" s="19" t="s">
        <v>133</v>
      </c>
      <c r="O174" s="19" t="s">
        <v>134</v>
      </c>
      <c r="P174" s="19" t="s">
        <v>361</v>
      </c>
      <c r="Q174" s="19" t="s">
        <v>36</v>
      </c>
      <c r="R174" s="19"/>
      <c r="S174" s="22" t="s">
        <v>847</v>
      </c>
    </row>
    <row r="175" customFormat="false" ht="15" hidden="false" customHeight="false" outlineLevel="0" collapsed="false">
      <c r="A175" s="7" t="s">
        <v>848</v>
      </c>
      <c r="B175" s="7" t="s">
        <v>34</v>
      </c>
      <c r="C175" s="7" t="s">
        <v>29</v>
      </c>
      <c r="D175" s="7" t="s">
        <v>140</v>
      </c>
      <c r="E175" s="8" t="n">
        <v>40000</v>
      </c>
      <c r="F175" s="8" t="n">
        <v>1051000000</v>
      </c>
      <c r="G175" s="11" t="n">
        <f aca="false">IFERROR(E175/F175,"")</f>
        <v>3.80589914367269E-005</v>
      </c>
      <c r="H175" s="7" t="s">
        <v>380</v>
      </c>
      <c r="I175" s="7" t="s">
        <v>519</v>
      </c>
      <c r="J175" s="7" t="s">
        <v>358</v>
      </c>
      <c r="K175" s="7" t="s">
        <v>359</v>
      </c>
      <c r="L175" s="7" t="s">
        <v>360</v>
      </c>
      <c r="M175" s="7" t="s">
        <v>132</v>
      </c>
      <c r="N175" s="7" t="s">
        <v>133</v>
      </c>
      <c r="O175" s="7" t="s">
        <v>134</v>
      </c>
      <c r="P175" s="7" t="s">
        <v>361</v>
      </c>
      <c r="Q175" s="7" t="s">
        <v>36</v>
      </c>
      <c r="R175" s="7"/>
      <c r="S175" s="23" t="s">
        <v>849</v>
      </c>
    </row>
    <row r="176" customFormat="false" ht="15" hidden="false" customHeight="false" outlineLevel="0" collapsed="false">
      <c r="A176" s="19" t="s">
        <v>850</v>
      </c>
      <c r="B176" s="19" t="s">
        <v>51</v>
      </c>
      <c r="C176" s="19" t="s">
        <v>29</v>
      </c>
      <c r="D176" s="19" t="s">
        <v>132</v>
      </c>
      <c r="E176" s="20" t="n">
        <v>40000</v>
      </c>
      <c r="F176" s="20" t="n">
        <v>1051000000</v>
      </c>
      <c r="G176" s="21" t="n">
        <f aca="false">IFERROR(E176/F176,"")</f>
        <v>3.80589914367269E-005</v>
      </c>
      <c r="H176" s="19" t="s">
        <v>380</v>
      </c>
      <c r="I176" s="19" t="s">
        <v>519</v>
      </c>
      <c r="J176" s="19" t="s">
        <v>358</v>
      </c>
      <c r="K176" s="19" t="s">
        <v>359</v>
      </c>
      <c r="L176" s="19" t="s">
        <v>360</v>
      </c>
      <c r="M176" s="19" t="s">
        <v>132</v>
      </c>
      <c r="N176" s="19" t="s">
        <v>133</v>
      </c>
      <c r="O176" s="19" t="s">
        <v>134</v>
      </c>
      <c r="P176" s="19" t="s">
        <v>361</v>
      </c>
      <c r="Q176" s="19" t="s">
        <v>36</v>
      </c>
      <c r="R176" s="19"/>
      <c r="S176" s="22" t="s">
        <v>851</v>
      </c>
    </row>
    <row r="177" customFormat="false" ht="15" hidden="false" customHeight="false" outlineLevel="0" collapsed="false">
      <c r="A177" s="7" t="s">
        <v>852</v>
      </c>
      <c r="B177" s="7" t="s">
        <v>62</v>
      </c>
      <c r="C177" s="7" t="s">
        <v>29</v>
      </c>
      <c r="D177" s="7" t="s">
        <v>140</v>
      </c>
      <c r="E177" s="8" t="n">
        <v>40000</v>
      </c>
      <c r="F177" s="8" t="n">
        <v>1051000000</v>
      </c>
      <c r="G177" s="11" t="n">
        <f aca="false">IFERROR(E177/F177,"")</f>
        <v>3.80589914367269E-005</v>
      </c>
      <c r="H177" s="7" t="s">
        <v>380</v>
      </c>
      <c r="I177" s="7" t="s">
        <v>519</v>
      </c>
      <c r="J177" s="7" t="s">
        <v>358</v>
      </c>
      <c r="K177" s="7" t="s">
        <v>359</v>
      </c>
      <c r="L177" s="7" t="s">
        <v>360</v>
      </c>
      <c r="M177" s="7" t="s">
        <v>132</v>
      </c>
      <c r="N177" s="7" t="s">
        <v>133</v>
      </c>
      <c r="O177" s="7" t="s">
        <v>134</v>
      </c>
      <c r="P177" s="7" t="s">
        <v>361</v>
      </c>
      <c r="Q177" s="7" t="s">
        <v>36</v>
      </c>
      <c r="R177" s="7"/>
      <c r="S177" s="23" t="s">
        <v>853</v>
      </c>
    </row>
    <row r="178" customFormat="false" ht="15" hidden="false" customHeight="false" outlineLevel="0" collapsed="false">
      <c r="A178" s="19" t="s">
        <v>854</v>
      </c>
      <c r="B178" s="19" t="s">
        <v>62</v>
      </c>
      <c r="C178" s="19" t="s">
        <v>29</v>
      </c>
      <c r="D178" s="19" t="s">
        <v>140</v>
      </c>
      <c r="E178" s="20" t="n">
        <v>40000</v>
      </c>
      <c r="F178" s="20" t="n">
        <v>1051000000</v>
      </c>
      <c r="G178" s="21" t="n">
        <f aca="false">IFERROR(E178/F178,"")</f>
        <v>3.80589914367269E-005</v>
      </c>
      <c r="H178" s="19" t="s">
        <v>380</v>
      </c>
      <c r="I178" s="19" t="s">
        <v>519</v>
      </c>
      <c r="J178" s="19" t="s">
        <v>358</v>
      </c>
      <c r="K178" s="19" t="s">
        <v>359</v>
      </c>
      <c r="L178" s="19" t="s">
        <v>360</v>
      </c>
      <c r="M178" s="19" t="s">
        <v>132</v>
      </c>
      <c r="N178" s="19" t="s">
        <v>133</v>
      </c>
      <c r="O178" s="19" t="s">
        <v>134</v>
      </c>
      <c r="P178" s="19" t="s">
        <v>361</v>
      </c>
      <c r="Q178" s="19" t="s">
        <v>36</v>
      </c>
      <c r="R178" s="19"/>
      <c r="S178" s="22" t="s">
        <v>855</v>
      </c>
    </row>
    <row r="179" customFormat="false" ht="15" hidden="false" customHeight="false" outlineLevel="0" collapsed="false">
      <c r="A179" s="7" t="s">
        <v>856</v>
      </c>
      <c r="B179" s="7" t="s">
        <v>32</v>
      </c>
      <c r="C179" s="7" t="s">
        <v>29</v>
      </c>
      <c r="D179" s="7" t="s">
        <v>162</v>
      </c>
      <c r="E179" s="8" t="n">
        <v>55000</v>
      </c>
      <c r="F179" s="8" t="n">
        <v>1451400000</v>
      </c>
      <c r="G179" s="11" t="n">
        <f aca="false">IFERROR(E179/F179,"")</f>
        <v>3.78944467410776E-005</v>
      </c>
      <c r="H179" s="7" t="s">
        <v>380</v>
      </c>
      <c r="I179" s="7" t="s">
        <v>468</v>
      </c>
      <c r="J179" s="7" t="s">
        <v>358</v>
      </c>
      <c r="K179" s="7" t="s">
        <v>400</v>
      </c>
      <c r="L179" s="7" t="s">
        <v>360</v>
      </c>
      <c r="M179" s="7"/>
      <c r="N179" s="7" t="s">
        <v>30</v>
      </c>
      <c r="O179" s="7"/>
      <c r="P179" s="7" t="s">
        <v>361</v>
      </c>
      <c r="Q179" s="7" t="s">
        <v>30</v>
      </c>
      <c r="R179" s="7"/>
      <c r="S179" s="23" t="s">
        <v>857</v>
      </c>
    </row>
    <row r="180" customFormat="false" ht="15" hidden="false" customHeight="false" outlineLevel="0" collapsed="false">
      <c r="A180" s="19" t="s">
        <v>858</v>
      </c>
      <c r="B180" s="19" t="s">
        <v>303</v>
      </c>
      <c r="C180" s="19" t="s">
        <v>49</v>
      </c>
      <c r="D180" s="19" t="s">
        <v>291</v>
      </c>
      <c r="E180" s="20" t="n">
        <v>3000</v>
      </c>
      <c r="F180" s="20" t="n">
        <v>82125969</v>
      </c>
      <c r="G180" s="21" t="n">
        <f aca="false">IFERROR(E180/F180,"")</f>
        <v>3.65292493535145E-005</v>
      </c>
      <c r="H180" s="19" t="s">
        <v>364</v>
      </c>
      <c r="I180" s="19" t="s">
        <v>757</v>
      </c>
      <c r="J180" s="19" t="s">
        <v>386</v>
      </c>
      <c r="K180" s="19" t="s">
        <v>400</v>
      </c>
      <c r="L180" s="19" t="s">
        <v>388</v>
      </c>
      <c r="M180" s="19"/>
      <c r="N180" s="19" t="s">
        <v>30</v>
      </c>
      <c r="O180" s="19"/>
      <c r="P180" s="19" t="s">
        <v>361</v>
      </c>
      <c r="Q180" s="19" t="s">
        <v>30</v>
      </c>
      <c r="R180" s="19"/>
      <c r="S180" s="22" t="s">
        <v>859</v>
      </c>
    </row>
    <row r="181" customFormat="false" ht="15" hidden="false" customHeight="false" outlineLevel="0" collapsed="false">
      <c r="A181" s="7" t="s">
        <v>860</v>
      </c>
      <c r="B181" s="7" t="s">
        <v>222</v>
      </c>
      <c r="C181" s="7" t="s">
        <v>67</v>
      </c>
      <c r="D181" s="7" t="s">
        <v>162</v>
      </c>
      <c r="E181" s="8" t="n">
        <v>475000</v>
      </c>
      <c r="F181" s="8" t="n">
        <v>13459000000</v>
      </c>
      <c r="G181" s="11" t="n">
        <f aca="false">IFERROR(E181/F181,"")</f>
        <v>3.52923694182332E-005</v>
      </c>
      <c r="H181" s="7" t="s">
        <v>527</v>
      </c>
      <c r="I181" s="7" t="s">
        <v>687</v>
      </c>
      <c r="J181" s="7" t="s">
        <v>386</v>
      </c>
      <c r="K181" s="7" t="s">
        <v>405</v>
      </c>
      <c r="L181" s="7" t="s">
        <v>396</v>
      </c>
      <c r="M181" s="7" t="s">
        <v>223</v>
      </c>
      <c r="N181" s="7" t="s">
        <v>145</v>
      </c>
      <c r="O181" s="7" t="s">
        <v>205</v>
      </c>
      <c r="P181" s="7" t="s">
        <v>361</v>
      </c>
      <c r="Q181" s="7" t="s">
        <v>36</v>
      </c>
      <c r="R181" s="7"/>
      <c r="S181" s="23" t="s">
        <v>861</v>
      </c>
    </row>
    <row r="182" customFormat="false" ht="15" hidden="false" customHeight="false" outlineLevel="0" collapsed="false">
      <c r="A182" s="19" t="s">
        <v>862</v>
      </c>
      <c r="B182" s="19" t="s">
        <v>56</v>
      </c>
      <c r="C182" s="19" t="s">
        <v>57</v>
      </c>
      <c r="D182" s="19" t="s">
        <v>140</v>
      </c>
      <c r="E182" s="20" t="n">
        <v>50000</v>
      </c>
      <c r="F182" s="20" t="n">
        <v>1451400000</v>
      </c>
      <c r="G182" s="21" t="n">
        <f aca="false">IFERROR(E182/F182,"")</f>
        <v>3.44494970373433E-005</v>
      </c>
      <c r="H182" s="19" t="s">
        <v>487</v>
      </c>
      <c r="I182" s="19" t="s">
        <v>863</v>
      </c>
      <c r="J182" s="19" t="s">
        <v>358</v>
      </c>
      <c r="K182" s="19" t="s">
        <v>372</v>
      </c>
      <c r="L182" s="19" t="s">
        <v>377</v>
      </c>
      <c r="M182" s="19"/>
      <c r="N182" s="19" t="s">
        <v>30</v>
      </c>
      <c r="O182" s="19"/>
      <c r="P182" s="19" t="s">
        <v>361</v>
      </c>
      <c r="Q182" s="19" t="s">
        <v>30</v>
      </c>
      <c r="R182" s="19"/>
      <c r="S182" s="22" t="s">
        <v>864</v>
      </c>
    </row>
    <row r="183" customFormat="false" ht="15" hidden="false" customHeight="false" outlineLevel="0" collapsed="false">
      <c r="A183" s="7" t="s">
        <v>865</v>
      </c>
      <c r="B183" s="7" t="s">
        <v>51</v>
      </c>
      <c r="C183" s="7" t="s">
        <v>762</v>
      </c>
      <c r="D183" s="7" t="s">
        <v>223</v>
      </c>
      <c r="E183" s="8" t="n">
        <v>36000</v>
      </c>
      <c r="F183" s="8" t="n">
        <v>1051000000</v>
      </c>
      <c r="G183" s="11" t="n">
        <f aca="false">IFERROR(E183/F183,"")</f>
        <v>3.42530922930542E-005</v>
      </c>
      <c r="H183" s="7" t="s">
        <v>380</v>
      </c>
      <c r="I183" s="7" t="s">
        <v>371</v>
      </c>
      <c r="J183" s="7" t="s">
        <v>358</v>
      </c>
      <c r="K183" s="7" t="s">
        <v>372</v>
      </c>
      <c r="L183" s="7"/>
      <c r="M183" s="7" t="s">
        <v>132</v>
      </c>
      <c r="N183" s="7" t="s">
        <v>133</v>
      </c>
      <c r="O183" s="7" t="s">
        <v>134</v>
      </c>
      <c r="P183" s="7" t="s">
        <v>573</v>
      </c>
      <c r="Q183" s="7" t="s">
        <v>36</v>
      </c>
      <c r="R183" s="7"/>
      <c r="S183" s="23" t="s">
        <v>866</v>
      </c>
    </row>
    <row r="184" customFormat="false" ht="15" hidden="false" customHeight="false" outlineLevel="0" collapsed="false">
      <c r="A184" s="19" t="s">
        <v>867</v>
      </c>
      <c r="B184" s="19" t="s">
        <v>294</v>
      </c>
      <c r="C184" s="19" t="s">
        <v>29</v>
      </c>
      <c r="D184" s="19" t="s">
        <v>162</v>
      </c>
      <c r="E184" s="20" t="n">
        <v>5000</v>
      </c>
      <c r="F184" s="20" t="n">
        <v>146870200</v>
      </c>
      <c r="G184" s="21" t="n">
        <f aca="false">IFERROR(E184/F184,"")</f>
        <v>3.404366576746E-005</v>
      </c>
      <c r="H184" s="19" t="s">
        <v>356</v>
      </c>
      <c r="I184" s="19" t="s">
        <v>414</v>
      </c>
      <c r="J184" s="19" t="s">
        <v>386</v>
      </c>
      <c r="K184" s="19" t="s">
        <v>400</v>
      </c>
      <c r="L184" s="19" t="s">
        <v>360</v>
      </c>
      <c r="M184" s="19"/>
      <c r="N184" s="19" t="s">
        <v>30</v>
      </c>
      <c r="O184" s="19"/>
      <c r="P184" s="19" t="s">
        <v>361</v>
      </c>
      <c r="Q184" s="19" t="s">
        <v>30</v>
      </c>
      <c r="R184" s="19"/>
      <c r="S184" s="22" t="s">
        <v>868</v>
      </c>
    </row>
    <row r="185" customFormat="false" ht="15" hidden="false" customHeight="false" outlineLevel="0" collapsed="false">
      <c r="A185" s="7" t="s">
        <v>869</v>
      </c>
      <c r="B185" s="7" t="s">
        <v>147</v>
      </c>
      <c r="C185" s="7" t="s">
        <v>75</v>
      </c>
      <c r="D185" s="7" t="s">
        <v>162</v>
      </c>
      <c r="E185" s="8" t="n">
        <v>5000000</v>
      </c>
      <c r="F185" s="8" t="n">
        <v>148710000000</v>
      </c>
      <c r="G185" s="11" t="n">
        <f aca="false">IFERROR(E185/F185,"")</f>
        <v>3.36224867191177E-005</v>
      </c>
      <c r="H185" s="7" t="s">
        <v>380</v>
      </c>
      <c r="I185" s="7" t="s">
        <v>870</v>
      </c>
      <c r="J185" s="7" t="s">
        <v>358</v>
      </c>
      <c r="K185" s="7" t="s">
        <v>366</v>
      </c>
      <c r="L185" s="7" t="s">
        <v>488</v>
      </c>
      <c r="M185" s="7"/>
      <c r="N185" s="7" t="s">
        <v>30</v>
      </c>
      <c r="O185" s="7"/>
      <c r="P185" s="7" t="s">
        <v>361</v>
      </c>
      <c r="Q185" s="7" t="s">
        <v>30</v>
      </c>
      <c r="R185" s="7"/>
      <c r="S185" s="23" t="s">
        <v>871</v>
      </c>
    </row>
    <row r="186" customFormat="false" ht="15" hidden="false" customHeight="false" outlineLevel="0" collapsed="false">
      <c r="A186" s="19" t="s">
        <v>872</v>
      </c>
      <c r="B186" s="19" t="s">
        <v>28</v>
      </c>
      <c r="C186" s="19" t="s">
        <v>29</v>
      </c>
      <c r="D186" s="19" t="s">
        <v>132</v>
      </c>
      <c r="E186" s="20" t="n">
        <v>136000</v>
      </c>
      <c r="F186" s="20" t="n">
        <v>4166421000</v>
      </c>
      <c r="G186" s="21" t="n">
        <f aca="false">IFERROR(E186/F186,"")</f>
        <v>3.26419245678725E-005</v>
      </c>
      <c r="H186" s="19" t="s">
        <v>380</v>
      </c>
      <c r="I186" s="19" t="s">
        <v>873</v>
      </c>
      <c r="J186" s="19" t="s">
        <v>358</v>
      </c>
      <c r="K186" s="19" t="s">
        <v>359</v>
      </c>
      <c r="L186" s="19" t="s">
        <v>360</v>
      </c>
      <c r="M186" s="19"/>
      <c r="N186" s="19" t="s">
        <v>30</v>
      </c>
      <c r="O186" s="19"/>
      <c r="P186" s="19" t="s">
        <v>361</v>
      </c>
      <c r="Q186" s="19" t="s">
        <v>30</v>
      </c>
      <c r="R186" s="19"/>
      <c r="S186" s="22" t="s">
        <v>874</v>
      </c>
    </row>
    <row r="187" customFormat="false" ht="15" hidden="false" customHeight="false" outlineLevel="0" collapsed="false">
      <c r="A187" s="7" t="s">
        <v>875</v>
      </c>
      <c r="B187" s="7" t="s">
        <v>172</v>
      </c>
      <c r="C187" s="7" t="s">
        <v>67</v>
      </c>
      <c r="D187" s="7" t="s">
        <v>140</v>
      </c>
      <c r="E187" s="8" t="n">
        <v>750000</v>
      </c>
      <c r="F187" s="8" t="n">
        <v>23000000000</v>
      </c>
      <c r="G187" s="11" t="n">
        <f aca="false">IFERROR(E187/F187,"")</f>
        <v>3.26086956521739E-005</v>
      </c>
      <c r="H187" s="7" t="s">
        <v>380</v>
      </c>
      <c r="I187" s="7" t="s">
        <v>513</v>
      </c>
      <c r="J187" s="7" t="s">
        <v>358</v>
      </c>
      <c r="K187" s="7" t="s">
        <v>445</v>
      </c>
      <c r="L187" s="7" t="s">
        <v>396</v>
      </c>
      <c r="M187" s="7"/>
      <c r="N187" s="7" t="s">
        <v>30</v>
      </c>
      <c r="O187" s="7"/>
      <c r="P187" s="7" t="s">
        <v>361</v>
      </c>
      <c r="Q187" s="7" t="s">
        <v>30</v>
      </c>
      <c r="R187" s="7"/>
      <c r="S187" s="23" t="s">
        <v>876</v>
      </c>
    </row>
    <row r="188" customFormat="false" ht="15" hidden="false" customHeight="false" outlineLevel="0" collapsed="false">
      <c r="A188" s="19" t="s">
        <v>877</v>
      </c>
      <c r="B188" s="19" t="s">
        <v>177</v>
      </c>
      <c r="C188" s="19" t="s">
        <v>178</v>
      </c>
      <c r="D188" s="19" t="s">
        <v>140</v>
      </c>
      <c r="E188" s="20" t="n">
        <v>300000</v>
      </c>
      <c r="F188" s="20" t="n">
        <v>9240000000</v>
      </c>
      <c r="G188" s="21" t="n">
        <f aca="false">IFERROR(E188/F188,"")</f>
        <v>3.24675324675325E-005</v>
      </c>
      <c r="H188" s="19" t="s">
        <v>380</v>
      </c>
      <c r="I188" s="19" t="s">
        <v>878</v>
      </c>
      <c r="J188" s="19" t="s">
        <v>358</v>
      </c>
      <c r="K188" s="19" t="s">
        <v>366</v>
      </c>
      <c r="L188" s="19" t="s">
        <v>429</v>
      </c>
      <c r="M188" s="19" t="s">
        <v>132</v>
      </c>
      <c r="N188" s="19" t="s">
        <v>141</v>
      </c>
      <c r="O188" s="19" t="s">
        <v>179</v>
      </c>
      <c r="P188" s="19" t="s">
        <v>361</v>
      </c>
      <c r="Q188" s="19" t="s">
        <v>36</v>
      </c>
      <c r="R188" s="19"/>
      <c r="S188" s="22" t="s">
        <v>879</v>
      </c>
    </row>
    <row r="189" customFormat="false" ht="15" hidden="false" customHeight="false" outlineLevel="0" collapsed="false">
      <c r="A189" s="7" t="s">
        <v>880</v>
      </c>
      <c r="B189" s="7" t="s">
        <v>233</v>
      </c>
      <c r="C189" s="7" t="s">
        <v>178</v>
      </c>
      <c r="D189" s="7" t="s">
        <v>291</v>
      </c>
      <c r="E189" s="8" t="n">
        <v>300000</v>
      </c>
      <c r="F189" s="8" t="n">
        <v>9241000000</v>
      </c>
      <c r="G189" s="11" t="n">
        <f aca="false">IFERROR(E189/F189,"")</f>
        <v>3.24640190455578E-005</v>
      </c>
      <c r="H189" s="7" t="s">
        <v>380</v>
      </c>
      <c r="I189" s="7" t="s">
        <v>881</v>
      </c>
      <c r="J189" s="7" t="s">
        <v>358</v>
      </c>
      <c r="K189" s="7" t="s">
        <v>366</v>
      </c>
      <c r="L189" s="7" t="s">
        <v>429</v>
      </c>
      <c r="M189" s="7" t="s">
        <v>132</v>
      </c>
      <c r="N189" s="7" t="s">
        <v>141</v>
      </c>
      <c r="O189" s="7" t="s">
        <v>179</v>
      </c>
      <c r="P189" s="7" t="s">
        <v>361</v>
      </c>
      <c r="Q189" s="7" t="s">
        <v>36</v>
      </c>
      <c r="R189" s="7"/>
      <c r="S189" s="23" t="s">
        <v>882</v>
      </c>
    </row>
    <row r="190" customFormat="false" ht="15" hidden="false" customHeight="false" outlineLevel="0" collapsed="false">
      <c r="A190" s="19" t="s">
        <v>883</v>
      </c>
      <c r="B190" s="19" t="s">
        <v>245</v>
      </c>
      <c r="C190" s="19" t="s">
        <v>60</v>
      </c>
      <c r="D190" s="19" t="s">
        <v>223</v>
      </c>
      <c r="E190" s="20" t="n">
        <v>150000</v>
      </c>
      <c r="F190" s="20" t="n">
        <v>4649400000</v>
      </c>
      <c r="G190" s="21" t="n">
        <f aca="false">IFERROR(E190/F190,"")</f>
        <v>3.22622273841786E-005</v>
      </c>
      <c r="H190" s="19" t="s">
        <v>356</v>
      </c>
      <c r="I190" s="19" t="s">
        <v>554</v>
      </c>
      <c r="J190" s="19" t="s">
        <v>358</v>
      </c>
      <c r="K190" s="19" t="s">
        <v>400</v>
      </c>
      <c r="L190" s="19" t="s">
        <v>558</v>
      </c>
      <c r="M190" s="19"/>
      <c r="N190" s="19" t="s">
        <v>30</v>
      </c>
      <c r="O190" s="19"/>
      <c r="P190" s="19" t="s">
        <v>361</v>
      </c>
      <c r="Q190" s="19" t="s">
        <v>30</v>
      </c>
      <c r="R190" s="19"/>
      <c r="S190" s="22" t="s">
        <v>884</v>
      </c>
    </row>
    <row r="191" customFormat="false" ht="15" hidden="false" customHeight="false" outlineLevel="0" collapsed="false">
      <c r="A191" s="7" t="s">
        <v>885</v>
      </c>
      <c r="B191" s="7" t="s">
        <v>207</v>
      </c>
      <c r="C191" s="7" t="s">
        <v>29</v>
      </c>
      <c r="D191" s="7" t="s">
        <v>137</v>
      </c>
      <c r="E191" s="8" t="n">
        <v>1300000</v>
      </c>
      <c r="F191" s="8" t="n">
        <v>40652000000</v>
      </c>
      <c r="G191" s="11" t="n">
        <f aca="false">IFERROR(E191/F191,"")</f>
        <v>3.19787464331398E-005</v>
      </c>
      <c r="H191" s="7" t="s">
        <v>380</v>
      </c>
      <c r="I191" s="7" t="s">
        <v>371</v>
      </c>
      <c r="J191" s="7" t="s">
        <v>358</v>
      </c>
      <c r="K191" s="7" t="s">
        <v>372</v>
      </c>
      <c r="L191" s="7" t="s">
        <v>360</v>
      </c>
      <c r="M191" s="7" t="s">
        <v>132</v>
      </c>
      <c r="N191" s="7" t="s">
        <v>135</v>
      </c>
      <c r="O191" s="7" t="s">
        <v>167</v>
      </c>
      <c r="P191" s="7" t="s">
        <v>361</v>
      </c>
      <c r="Q191" s="7" t="s">
        <v>36</v>
      </c>
      <c r="R191" s="7"/>
      <c r="S191" s="23" t="s">
        <v>886</v>
      </c>
    </row>
    <row r="192" customFormat="false" ht="15" hidden="false" customHeight="false" outlineLevel="0" collapsed="false">
      <c r="A192" s="19" t="s">
        <v>887</v>
      </c>
      <c r="B192" s="19" t="s">
        <v>201</v>
      </c>
      <c r="C192" s="19" t="s">
        <v>178</v>
      </c>
      <c r="D192" s="19" t="s">
        <v>162</v>
      </c>
      <c r="E192" s="20" t="n">
        <v>2250000</v>
      </c>
      <c r="F192" s="20" t="n">
        <v>70700000000</v>
      </c>
      <c r="G192" s="21" t="n">
        <f aca="false">IFERROR(E192/F192,"")</f>
        <v>3.18246110325318E-005</v>
      </c>
      <c r="H192" s="19" t="s">
        <v>370</v>
      </c>
      <c r="I192" s="19" t="s">
        <v>888</v>
      </c>
      <c r="J192" s="19" t="s">
        <v>358</v>
      </c>
      <c r="K192" s="19" t="s">
        <v>372</v>
      </c>
      <c r="L192" s="19" t="s">
        <v>429</v>
      </c>
      <c r="M192" s="19"/>
      <c r="N192" s="19" t="s">
        <v>30</v>
      </c>
      <c r="O192" s="19"/>
      <c r="P192" s="19" t="s">
        <v>361</v>
      </c>
      <c r="Q192" s="19" t="s">
        <v>30</v>
      </c>
      <c r="R192" s="19"/>
      <c r="S192" s="22" t="s">
        <v>889</v>
      </c>
    </row>
    <row r="193" customFormat="false" ht="15" hidden="false" customHeight="false" outlineLevel="0" collapsed="false">
      <c r="A193" s="7" t="s">
        <v>890</v>
      </c>
      <c r="B193" s="7" t="s">
        <v>146</v>
      </c>
      <c r="C193" s="7" t="s">
        <v>29</v>
      </c>
      <c r="D193" s="7" t="s">
        <v>409</v>
      </c>
      <c r="E193" s="8" t="n">
        <v>400000</v>
      </c>
      <c r="F193" s="8" t="n">
        <v>13842440000</v>
      </c>
      <c r="G193" s="11" t="n">
        <f aca="false">IFERROR(E193/F193,"")</f>
        <v>2.88966396097798E-005</v>
      </c>
      <c r="H193" s="7" t="s">
        <v>364</v>
      </c>
      <c r="I193" s="7" t="s">
        <v>658</v>
      </c>
      <c r="J193" s="7" t="s">
        <v>358</v>
      </c>
      <c r="K193" s="7" t="s">
        <v>400</v>
      </c>
      <c r="L193" s="7" t="s">
        <v>360</v>
      </c>
      <c r="M193" s="7"/>
      <c r="N193" s="7" t="s">
        <v>30</v>
      </c>
      <c r="O193" s="7"/>
      <c r="P193" s="7" t="s">
        <v>361</v>
      </c>
      <c r="Q193" s="7" t="s">
        <v>30</v>
      </c>
      <c r="R193" s="7"/>
      <c r="S193" s="23" t="s">
        <v>891</v>
      </c>
    </row>
    <row r="194" customFormat="false" ht="15" hidden="false" customHeight="false" outlineLevel="0" collapsed="false">
      <c r="A194" s="19" t="s">
        <v>892</v>
      </c>
      <c r="B194" s="19" t="s">
        <v>28</v>
      </c>
      <c r="C194" s="19" t="s">
        <v>29</v>
      </c>
      <c r="D194" s="19" t="s">
        <v>162</v>
      </c>
      <c r="E194" s="20" t="n">
        <v>120000</v>
      </c>
      <c r="F194" s="20" t="n">
        <v>4166421000</v>
      </c>
      <c r="G194" s="21" t="n">
        <f aca="false">IFERROR(E194/F194,"")</f>
        <v>2.88016981481228E-005</v>
      </c>
      <c r="H194" s="19" t="s">
        <v>380</v>
      </c>
      <c r="I194" s="19" t="s">
        <v>494</v>
      </c>
      <c r="J194" s="19" t="s">
        <v>358</v>
      </c>
      <c r="K194" s="19" t="s">
        <v>359</v>
      </c>
      <c r="L194" s="19" t="s">
        <v>360</v>
      </c>
      <c r="M194" s="19"/>
      <c r="N194" s="19" t="s">
        <v>30</v>
      </c>
      <c r="O194" s="19"/>
      <c r="P194" s="19" t="s">
        <v>361</v>
      </c>
      <c r="Q194" s="19" t="s">
        <v>30</v>
      </c>
      <c r="R194" s="19"/>
      <c r="S194" s="22" t="s">
        <v>893</v>
      </c>
    </row>
    <row r="195" customFormat="false" ht="15" hidden="false" customHeight="false" outlineLevel="0" collapsed="false">
      <c r="A195" s="7" t="s">
        <v>894</v>
      </c>
      <c r="B195" s="7" t="s">
        <v>59</v>
      </c>
      <c r="C195" s="7" t="s">
        <v>60</v>
      </c>
      <c r="D195" s="7" t="s">
        <v>409</v>
      </c>
      <c r="E195" s="8" t="n">
        <v>30000</v>
      </c>
      <c r="F195" s="8" t="n">
        <v>1051000000</v>
      </c>
      <c r="G195" s="11" t="n">
        <f aca="false">IFERROR(E195/F195,"")</f>
        <v>2.85442435775452E-005</v>
      </c>
      <c r="H195" s="7" t="s">
        <v>380</v>
      </c>
      <c r="I195" s="7" t="s">
        <v>895</v>
      </c>
      <c r="J195" s="7" t="s">
        <v>358</v>
      </c>
      <c r="K195" s="7" t="s">
        <v>366</v>
      </c>
      <c r="L195" s="7" t="s">
        <v>558</v>
      </c>
      <c r="M195" s="7" t="s">
        <v>132</v>
      </c>
      <c r="N195" s="7" t="s">
        <v>133</v>
      </c>
      <c r="O195" s="7" t="s">
        <v>134</v>
      </c>
      <c r="P195" s="7" t="s">
        <v>361</v>
      </c>
      <c r="Q195" s="7" t="s">
        <v>36</v>
      </c>
      <c r="R195" s="7"/>
      <c r="S195" s="23" t="s">
        <v>896</v>
      </c>
    </row>
    <row r="196" customFormat="false" ht="15" hidden="false" customHeight="false" outlineLevel="0" collapsed="false">
      <c r="A196" s="19" t="s">
        <v>897</v>
      </c>
      <c r="B196" s="19" t="s">
        <v>34</v>
      </c>
      <c r="C196" s="19" t="s">
        <v>29</v>
      </c>
      <c r="D196" s="19" t="s">
        <v>140</v>
      </c>
      <c r="E196" s="20" t="n">
        <v>30000</v>
      </c>
      <c r="F196" s="20" t="n">
        <v>1051000000</v>
      </c>
      <c r="G196" s="21" t="n">
        <f aca="false">IFERROR(E196/F196,"")</f>
        <v>2.85442435775452E-005</v>
      </c>
      <c r="H196" s="19" t="s">
        <v>380</v>
      </c>
      <c r="I196" s="19" t="s">
        <v>519</v>
      </c>
      <c r="J196" s="19" t="s">
        <v>358</v>
      </c>
      <c r="K196" s="19" t="s">
        <v>359</v>
      </c>
      <c r="L196" s="19" t="s">
        <v>360</v>
      </c>
      <c r="M196" s="19" t="s">
        <v>132</v>
      </c>
      <c r="N196" s="19" t="s">
        <v>133</v>
      </c>
      <c r="O196" s="19" t="s">
        <v>134</v>
      </c>
      <c r="P196" s="19" t="s">
        <v>361</v>
      </c>
      <c r="Q196" s="19" t="s">
        <v>36</v>
      </c>
      <c r="R196" s="19"/>
      <c r="S196" s="22" t="s">
        <v>898</v>
      </c>
    </row>
    <row r="197" customFormat="false" ht="15" hidden="false" customHeight="false" outlineLevel="0" collapsed="false">
      <c r="A197" s="7" t="s">
        <v>899</v>
      </c>
      <c r="B197" s="7" t="s">
        <v>32</v>
      </c>
      <c r="C197" s="7" t="s">
        <v>29</v>
      </c>
      <c r="D197" s="7" t="s">
        <v>162</v>
      </c>
      <c r="E197" s="8" t="n">
        <v>40000</v>
      </c>
      <c r="F197" s="8" t="n">
        <v>1451400000</v>
      </c>
      <c r="G197" s="11" t="n">
        <f aca="false">IFERROR(E197/F197,"")</f>
        <v>2.75595976298746E-005</v>
      </c>
      <c r="H197" s="7" t="s">
        <v>380</v>
      </c>
      <c r="I197" s="7" t="s">
        <v>519</v>
      </c>
      <c r="J197" s="7" t="s">
        <v>358</v>
      </c>
      <c r="K197" s="7" t="s">
        <v>359</v>
      </c>
      <c r="L197" s="7" t="s">
        <v>360</v>
      </c>
      <c r="M197" s="7"/>
      <c r="N197" s="7" t="s">
        <v>30</v>
      </c>
      <c r="O197" s="7"/>
      <c r="P197" s="7" t="s">
        <v>361</v>
      </c>
      <c r="Q197" s="7" t="s">
        <v>30</v>
      </c>
      <c r="R197" s="7"/>
      <c r="S197" s="23" t="s">
        <v>900</v>
      </c>
    </row>
    <row r="198" customFormat="false" ht="15" hidden="false" customHeight="false" outlineLevel="0" collapsed="false">
      <c r="A198" s="19" t="s">
        <v>901</v>
      </c>
      <c r="B198" s="19" t="s">
        <v>210</v>
      </c>
      <c r="C198" s="19" t="s">
        <v>57</v>
      </c>
      <c r="D198" s="19" t="s">
        <v>137</v>
      </c>
      <c r="E198" s="20" t="n">
        <v>1000000</v>
      </c>
      <c r="F198" s="20" t="n">
        <v>36492000000</v>
      </c>
      <c r="G198" s="21" t="n">
        <f aca="false">IFERROR(E198/F198,"")</f>
        <v>2.74032664693631E-005</v>
      </c>
      <c r="H198" s="19" t="s">
        <v>356</v>
      </c>
      <c r="I198" s="19" t="s">
        <v>365</v>
      </c>
      <c r="J198" s="19" t="s">
        <v>358</v>
      </c>
      <c r="K198" s="19" t="s">
        <v>366</v>
      </c>
      <c r="L198" s="19" t="s">
        <v>377</v>
      </c>
      <c r="M198" s="19" t="s">
        <v>132</v>
      </c>
      <c r="N198" s="19" t="s">
        <v>145</v>
      </c>
      <c r="O198" s="19" t="s">
        <v>205</v>
      </c>
      <c r="P198" s="19" t="s">
        <v>361</v>
      </c>
      <c r="Q198" s="19" t="s">
        <v>36</v>
      </c>
      <c r="R198" s="19"/>
      <c r="S198" s="22" t="s">
        <v>902</v>
      </c>
    </row>
    <row r="199" customFormat="false" ht="15" hidden="false" customHeight="false" outlineLevel="0" collapsed="false">
      <c r="A199" s="7" t="s">
        <v>903</v>
      </c>
      <c r="B199" s="7" t="s">
        <v>801</v>
      </c>
      <c r="C199" s="7" t="s">
        <v>29</v>
      </c>
      <c r="D199" s="7" t="s">
        <v>137</v>
      </c>
      <c r="E199" s="8" t="n">
        <v>112000</v>
      </c>
      <c r="F199" s="8" t="n">
        <v>4166421000</v>
      </c>
      <c r="G199" s="11" t="n">
        <f aca="false">IFERROR(E199/F199,"")</f>
        <v>2.6881584938248E-005</v>
      </c>
      <c r="H199" s="7" t="s">
        <v>380</v>
      </c>
      <c r="I199" s="7" t="s">
        <v>371</v>
      </c>
      <c r="J199" s="7" t="s">
        <v>358</v>
      </c>
      <c r="K199" s="7" t="s">
        <v>372</v>
      </c>
      <c r="L199" s="7" t="s">
        <v>360</v>
      </c>
      <c r="M199" s="7"/>
      <c r="N199" s="7" t="s">
        <v>30</v>
      </c>
      <c r="O199" s="7"/>
      <c r="P199" s="7" t="s">
        <v>361</v>
      </c>
      <c r="Q199" s="7" t="s">
        <v>30</v>
      </c>
      <c r="R199" s="7"/>
      <c r="S199" s="23" t="s">
        <v>904</v>
      </c>
    </row>
    <row r="200" customFormat="false" ht="15" hidden="false" customHeight="false" outlineLevel="0" collapsed="false">
      <c r="A200" s="19" t="s">
        <v>905</v>
      </c>
      <c r="B200" s="19" t="s">
        <v>28</v>
      </c>
      <c r="C200" s="19" t="s">
        <v>29</v>
      </c>
      <c r="D200" s="19" t="s">
        <v>132</v>
      </c>
      <c r="E200" s="20" t="n">
        <v>112000</v>
      </c>
      <c r="F200" s="20" t="n">
        <v>4166421000</v>
      </c>
      <c r="G200" s="21" t="n">
        <f aca="false">IFERROR(E200/F200,"")</f>
        <v>2.6881584938248E-005</v>
      </c>
      <c r="H200" s="19" t="s">
        <v>380</v>
      </c>
      <c r="I200" s="19" t="s">
        <v>519</v>
      </c>
      <c r="J200" s="19" t="s">
        <v>358</v>
      </c>
      <c r="K200" s="19" t="s">
        <v>359</v>
      </c>
      <c r="L200" s="19" t="s">
        <v>360</v>
      </c>
      <c r="M200" s="19"/>
      <c r="N200" s="19" t="s">
        <v>30</v>
      </c>
      <c r="O200" s="19"/>
      <c r="P200" s="19" t="s">
        <v>361</v>
      </c>
      <c r="Q200" s="19" t="s">
        <v>30</v>
      </c>
      <c r="R200" s="19"/>
      <c r="S200" s="22" t="s">
        <v>906</v>
      </c>
    </row>
    <row r="201" customFormat="false" ht="15" hidden="false" customHeight="false" outlineLevel="0" collapsed="false">
      <c r="A201" s="7" t="s">
        <v>907</v>
      </c>
      <c r="B201" s="7" t="s">
        <v>32</v>
      </c>
      <c r="C201" s="7" t="s">
        <v>29</v>
      </c>
      <c r="D201" s="7" t="s">
        <v>162</v>
      </c>
      <c r="E201" s="8" t="n">
        <v>39000</v>
      </c>
      <c r="F201" s="8" t="n">
        <v>1451400000</v>
      </c>
      <c r="G201" s="11" t="n">
        <f aca="false">IFERROR(E201/F201,"")</f>
        <v>2.68706076891277E-005</v>
      </c>
      <c r="H201" s="7" t="s">
        <v>380</v>
      </c>
      <c r="I201" s="7" t="s">
        <v>371</v>
      </c>
      <c r="J201" s="7" t="s">
        <v>358</v>
      </c>
      <c r="K201" s="7" t="s">
        <v>359</v>
      </c>
      <c r="L201" s="7" t="s">
        <v>360</v>
      </c>
      <c r="M201" s="7"/>
      <c r="N201" s="7" t="s">
        <v>30</v>
      </c>
      <c r="O201" s="7"/>
      <c r="P201" s="7" t="s">
        <v>361</v>
      </c>
      <c r="Q201" s="7" t="s">
        <v>30</v>
      </c>
      <c r="R201" s="7"/>
      <c r="S201" s="23" t="s">
        <v>908</v>
      </c>
    </row>
    <row r="202" customFormat="false" ht="15" hidden="false" customHeight="false" outlineLevel="0" collapsed="false">
      <c r="A202" s="19" t="s">
        <v>909</v>
      </c>
      <c r="B202" s="19" t="s">
        <v>304</v>
      </c>
      <c r="C202" s="19" t="s">
        <v>49</v>
      </c>
      <c r="D202" s="19" t="s">
        <v>291</v>
      </c>
      <c r="E202" s="20" t="n">
        <v>2000</v>
      </c>
      <c r="F202" s="20" t="n">
        <v>76413064</v>
      </c>
      <c r="G202" s="21" t="n">
        <f aca="false">IFERROR(E202/F202,"")</f>
        <v>2.61735349337647E-005</v>
      </c>
      <c r="H202" s="19" t="s">
        <v>370</v>
      </c>
      <c r="I202" s="19" t="s">
        <v>757</v>
      </c>
      <c r="J202" s="19" t="s">
        <v>386</v>
      </c>
      <c r="K202" s="19" t="s">
        <v>400</v>
      </c>
      <c r="L202" s="19" t="s">
        <v>388</v>
      </c>
      <c r="M202" s="19"/>
      <c r="N202" s="19" t="s">
        <v>30</v>
      </c>
      <c r="O202" s="19"/>
      <c r="P202" s="19" t="s">
        <v>361</v>
      </c>
      <c r="Q202" s="19" t="s">
        <v>30</v>
      </c>
      <c r="R202" s="19"/>
      <c r="S202" s="22" t="s">
        <v>910</v>
      </c>
    </row>
    <row r="203" customFormat="false" ht="15" hidden="false" customHeight="false" outlineLevel="0" collapsed="false">
      <c r="A203" s="7" t="s">
        <v>911</v>
      </c>
      <c r="B203" s="7" t="s">
        <v>801</v>
      </c>
      <c r="C203" s="7" t="s">
        <v>29</v>
      </c>
      <c r="D203" s="7" t="s">
        <v>137</v>
      </c>
      <c r="E203" s="8" t="n">
        <v>100000</v>
      </c>
      <c r="F203" s="8" t="n">
        <v>4166421000</v>
      </c>
      <c r="G203" s="11" t="n">
        <f aca="false">IFERROR(E203/F203,"")</f>
        <v>2.40014151234357E-005</v>
      </c>
      <c r="H203" s="7" t="s">
        <v>380</v>
      </c>
      <c r="I203" s="7" t="s">
        <v>519</v>
      </c>
      <c r="J203" s="7" t="s">
        <v>358</v>
      </c>
      <c r="K203" s="7" t="s">
        <v>359</v>
      </c>
      <c r="L203" s="7" t="s">
        <v>360</v>
      </c>
      <c r="M203" s="7"/>
      <c r="N203" s="7" t="s">
        <v>30</v>
      </c>
      <c r="O203" s="7"/>
      <c r="P203" s="7" t="s">
        <v>361</v>
      </c>
      <c r="Q203" s="7" t="s">
        <v>30</v>
      </c>
      <c r="R203" s="7"/>
      <c r="S203" s="23" t="s">
        <v>912</v>
      </c>
    </row>
    <row r="204" customFormat="false" ht="15" hidden="false" customHeight="false" outlineLevel="0" collapsed="false">
      <c r="A204" s="19" t="s">
        <v>913</v>
      </c>
      <c r="B204" s="19" t="s">
        <v>28</v>
      </c>
      <c r="C204" s="19" t="s">
        <v>29</v>
      </c>
      <c r="D204" s="19" t="s">
        <v>291</v>
      </c>
      <c r="E204" s="20" t="n">
        <v>100000</v>
      </c>
      <c r="F204" s="20" t="n">
        <v>4166421000</v>
      </c>
      <c r="G204" s="21" t="n">
        <f aca="false">IFERROR(E204/F204,"")</f>
        <v>2.40014151234357E-005</v>
      </c>
      <c r="H204" s="19" t="s">
        <v>380</v>
      </c>
      <c r="I204" s="19" t="s">
        <v>519</v>
      </c>
      <c r="J204" s="19" t="s">
        <v>358</v>
      </c>
      <c r="K204" s="19" t="s">
        <v>359</v>
      </c>
      <c r="L204" s="19" t="s">
        <v>360</v>
      </c>
      <c r="M204" s="19"/>
      <c r="N204" s="19" t="s">
        <v>30</v>
      </c>
      <c r="O204" s="19"/>
      <c r="P204" s="19" t="s">
        <v>361</v>
      </c>
      <c r="Q204" s="19" t="s">
        <v>30</v>
      </c>
      <c r="R204" s="19"/>
      <c r="S204" s="22" t="s">
        <v>914</v>
      </c>
    </row>
    <row r="205" customFormat="false" ht="15" hidden="false" customHeight="false" outlineLevel="0" collapsed="false">
      <c r="A205" s="7" t="s">
        <v>915</v>
      </c>
      <c r="B205" s="7" t="s">
        <v>180</v>
      </c>
      <c r="C205" s="7" t="s">
        <v>57</v>
      </c>
      <c r="D205" s="7" t="s">
        <v>132</v>
      </c>
      <c r="E205" s="8" t="n">
        <v>100000</v>
      </c>
      <c r="F205" s="8" t="n">
        <v>4328000000</v>
      </c>
      <c r="G205" s="11" t="n">
        <f aca="false">IFERROR(E205/F205,"")</f>
        <v>2.31053604436229E-005</v>
      </c>
      <c r="H205" s="7" t="s">
        <v>356</v>
      </c>
      <c r="I205" s="7" t="s">
        <v>365</v>
      </c>
      <c r="J205" s="7" t="s">
        <v>358</v>
      </c>
      <c r="K205" s="7" t="s">
        <v>366</v>
      </c>
      <c r="L205" s="7" t="s">
        <v>377</v>
      </c>
      <c r="M205" s="7" t="s">
        <v>132</v>
      </c>
      <c r="N205" s="7" t="s">
        <v>133</v>
      </c>
      <c r="O205" s="7" t="s">
        <v>181</v>
      </c>
      <c r="P205" s="7" t="s">
        <v>361</v>
      </c>
      <c r="Q205" s="7" t="s">
        <v>165</v>
      </c>
      <c r="R205" s="7"/>
      <c r="S205" s="23" t="s">
        <v>916</v>
      </c>
    </row>
    <row r="206" customFormat="false" ht="15" hidden="false" customHeight="false" outlineLevel="0" collapsed="false">
      <c r="A206" s="19" t="s">
        <v>917</v>
      </c>
      <c r="B206" s="19" t="s">
        <v>28</v>
      </c>
      <c r="C206" s="19" t="s">
        <v>29</v>
      </c>
      <c r="D206" s="19" t="s">
        <v>140</v>
      </c>
      <c r="E206" s="20" t="n">
        <v>96000</v>
      </c>
      <c r="F206" s="20" t="n">
        <v>4166421000</v>
      </c>
      <c r="G206" s="21" t="n">
        <f aca="false">IFERROR(E206/F206,"")</f>
        <v>2.30413585184983E-005</v>
      </c>
      <c r="H206" s="19" t="s">
        <v>380</v>
      </c>
      <c r="I206" s="19" t="s">
        <v>770</v>
      </c>
      <c r="J206" s="19" t="s">
        <v>358</v>
      </c>
      <c r="K206" s="19" t="s">
        <v>359</v>
      </c>
      <c r="L206" s="19" t="s">
        <v>360</v>
      </c>
      <c r="M206" s="19"/>
      <c r="N206" s="19" t="s">
        <v>30</v>
      </c>
      <c r="O206" s="19"/>
      <c r="P206" s="19" t="s">
        <v>361</v>
      </c>
      <c r="Q206" s="19" t="s">
        <v>30</v>
      </c>
      <c r="R206" s="19"/>
      <c r="S206" s="22" t="s">
        <v>918</v>
      </c>
    </row>
    <row r="207" customFormat="false" ht="15" hidden="false" customHeight="false" outlineLevel="0" collapsed="false">
      <c r="A207" s="7" t="s">
        <v>919</v>
      </c>
      <c r="B207" s="7" t="s">
        <v>28</v>
      </c>
      <c r="C207" s="7" t="s">
        <v>29</v>
      </c>
      <c r="D207" s="7" t="s">
        <v>140</v>
      </c>
      <c r="E207" s="8" t="n">
        <v>90000</v>
      </c>
      <c r="F207" s="8" t="n">
        <v>4166421000</v>
      </c>
      <c r="G207" s="11" t="n">
        <f aca="false">IFERROR(E207/F207,"")</f>
        <v>2.16012736110921E-005</v>
      </c>
      <c r="H207" s="7" t="s">
        <v>380</v>
      </c>
      <c r="I207" s="7" t="s">
        <v>519</v>
      </c>
      <c r="J207" s="7" t="s">
        <v>358</v>
      </c>
      <c r="K207" s="7" t="s">
        <v>359</v>
      </c>
      <c r="L207" s="7" t="s">
        <v>360</v>
      </c>
      <c r="M207" s="7"/>
      <c r="N207" s="7" t="s">
        <v>30</v>
      </c>
      <c r="O207" s="7"/>
      <c r="P207" s="7" t="s">
        <v>361</v>
      </c>
      <c r="Q207" s="7" t="s">
        <v>30</v>
      </c>
      <c r="R207" s="7"/>
      <c r="S207" s="23" t="s">
        <v>920</v>
      </c>
    </row>
    <row r="208" customFormat="false" ht="15" hidden="false" customHeight="false" outlineLevel="0" collapsed="false">
      <c r="A208" s="19" t="s">
        <v>921</v>
      </c>
      <c r="B208" s="19" t="s">
        <v>32</v>
      </c>
      <c r="C208" s="19" t="s">
        <v>29</v>
      </c>
      <c r="D208" s="19" t="s">
        <v>162</v>
      </c>
      <c r="E208" s="20" t="n">
        <v>30000</v>
      </c>
      <c r="F208" s="20" t="n">
        <v>1451400000</v>
      </c>
      <c r="G208" s="21" t="n">
        <f aca="false">IFERROR(E208/F208,"")</f>
        <v>2.0669698222406E-005</v>
      </c>
      <c r="H208" s="19" t="s">
        <v>380</v>
      </c>
      <c r="I208" s="19" t="s">
        <v>468</v>
      </c>
      <c r="J208" s="19" t="s">
        <v>358</v>
      </c>
      <c r="K208" s="19" t="s">
        <v>400</v>
      </c>
      <c r="L208" s="19" t="s">
        <v>360</v>
      </c>
      <c r="M208" s="19"/>
      <c r="N208" s="19" t="s">
        <v>30</v>
      </c>
      <c r="O208" s="19"/>
      <c r="P208" s="19" t="s">
        <v>361</v>
      </c>
      <c r="Q208" s="19" t="s">
        <v>30</v>
      </c>
      <c r="R208" s="19"/>
      <c r="S208" s="22" t="s">
        <v>922</v>
      </c>
    </row>
    <row r="209" customFormat="false" ht="15" hidden="false" customHeight="false" outlineLevel="0" collapsed="false">
      <c r="A209" s="7" t="s">
        <v>923</v>
      </c>
      <c r="B209" s="7" t="s">
        <v>299</v>
      </c>
      <c r="C209" s="7" t="s">
        <v>49</v>
      </c>
      <c r="D209" s="7" t="s">
        <v>140</v>
      </c>
      <c r="E209" s="8" t="n">
        <v>2000</v>
      </c>
      <c r="F209" s="8" t="n">
        <v>99460352</v>
      </c>
      <c r="G209" s="11" t="n">
        <f aca="false">IFERROR(E209/F209,"")</f>
        <v>2.01085152001071E-005</v>
      </c>
      <c r="H209" s="7" t="s">
        <v>480</v>
      </c>
      <c r="I209" s="7" t="s">
        <v>414</v>
      </c>
      <c r="J209" s="7" t="s">
        <v>386</v>
      </c>
      <c r="K209" s="7" t="s">
        <v>400</v>
      </c>
      <c r="L209" s="7" t="s">
        <v>388</v>
      </c>
      <c r="M209" s="7"/>
      <c r="N209" s="7" t="s">
        <v>30</v>
      </c>
      <c r="O209" s="7"/>
      <c r="P209" s="7" t="s">
        <v>361</v>
      </c>
      <c r="Q209" s="7" t="s">
        <v>30</v>
      </c>
      <c r="R209" s="7"/>
      <c r="S209" s="23" t="s">
        <v>924</v>
      </c>
    </row>
    <row r="210" customFormat="false" ht="15" hidden="false" customHeight="false" outlineLevel="0" collapsed="false">
      <c r="A210" s="19" t="s">
        <v>925</v>
      </c>
      <c r="B210" s="19" t="s">
        <v>230</v>
      </c>
      <c r="C210" s="19" t="s">
        <v>204</v>
      </c>
      <c r="D210" s="19" t="s">
        <v>223</v>
      </c>
      <c r="E210" s="20" t="n">
        <v>195407</v>
      </c>
      <c r="F210" s="20" t="n">
        <v>9942000000</v>
      </c>
      <c r="G210" s="21" t="n">
        <f aca="false">IFERROR(E210/F210,"")</f>
        <v>1.96546972440153E-005</v>
      </c>
      <c r="H210" s="19" t="s">
        <v>527</v>
      </c>
      <c r="I210" s="19" t="s">
        <v>926</v>
      </c>
      <c r="J210" s="19" t="s">
        <v>358</v>
      </c>
      <c r="K210" s="19" t="s">
        <v>366</v>
      </c>
      <c r="L210" s="19" t="s">
        <v>691</v>
      </c>
      <c r="M210" s="19" t="s">
        <v>132</v>
      </c>
      <c r="N210" s="19" t="s">
        <v>133</v>
      </c>
      <c r="O210" s="19" t="s">
        <v>231</v>
      </c>
      <c r="P210" s="19" t="s">
        <v>361</v>
      </c>
      <c r="Q210" s="19" t="s">
        <v>165</v>
      </c>
      <c r="R210" s="19"/>
      <c r="S210" s="22" t="s">
        <v>927</v>
      </c>
    </row>
    <row r="211" customFormat="false" ht="15" hidden="false" customHeight="false" outlineLevel="0" collapsed="false">
      <c r="A211" s="7" t="s">
        <v>928</v>
      </c>
      <c r="B211" s="7" t="s">
        <v>28</v>
      </c>
      <c r="C211" s="7" t="s">
        <v>29</v>
      </c>
      <c r="D211" s="7" t="s">
        <v>132</v>
      </c>
      <c r="E211" s="8" t="n">
        <v>80000</v>
      </c>
      <c r="F211" s="8" t="n">
        <v>4166421000</v>
      </c>
      <c r="G211" s="11" t="n">
        <f aca="false">IFERROR(E211/F211,"")</f>
        <v>1.92011320987485E-005</v>
      </c>
      <c r="H211" s="7" t="s">
        <v>380</v>
      </c>
      <c r="I211" s="7" t="s">
        <v>519</v>
      </c>
      <c r="J211" s="7" t="s">
        <v>358</v>
      </c>
      <c r="K211" s="7" t="s">
        <v>359</v>
      </c>
      <c r="L211" s="7" t="s">
        <v>360</v>
      </c>
      <c r="M211" s="7"/>
      <c r="N211" s="7" t="s">
        <v>30</v>
      </c>
      <c r="O211" s="7"/>
      <c r="P211" s="7" t="s">
        <v>361</v>
      </c>
      <c r="Q211" s="7" t="s">
        <v>30</v>
      </c>
      <c r="R211" s="7"/>
      <c r="S211" s="23" t="s">
        <v>929</v>
      </c>
    </row>
    <row r="212" customFormat="false" ht="15" hidden="false" customHeight="false" outlineLevel="0" collapsed="false">
      <c r="A212" s="19" t="s">
        <v>930</v>
      </c>
      <c r="B212" s="19" t="s">
        <v>251</v>
      </c>
      <c r="C212" s="19" t="s">
        <v>113</v>
      </c>
      <c r="D212" s="19" t="s">
        <v>140</v>
      </c>
      <c r="E212" s="20" t="n">
        <v>67900</v>
      </c>
      <c r="F212" s="20" t="n">
        <v>3660000000</v>
      </c>
      <c r="G212" s="21" t="n">
        <f aca="false">IFERROR(E212/F212,"")</f>
        <v>1.8551912568306E-005</v>
      </c>
      <c r="H212" s="19" t="s">
        <v>487</v>
      </c>
      <c r="I212" s="19" t="s">
        <v>414</v>
      </c>
      <c r="J212" s="19" t="s">
        <v>386</v>
      </c>
      <c r="K212" s="19" t="s">
        <v>400</v>
      </c>
      <c r="L212" s="19" t="s">
        <v>373</v>
      </c>
      <c r="M212" s="19"/>
      <c r="N212" s="19" t="s">
        <v>30</v>
      </c>
      <c r="O212" s="19"/>
      <c r="P212" s="19" t="s">
        <v>361</v>
      </c>
      <c r="Q212" s="19" t="s">
        <v>30</v>
      </c>
      <c r="R212" s="19"/>
      <c r="S212" s="22" t="s">
        <v>931</v>
      </c>
    </row>
    <row r="213" customFormat="false" ht="15" hidden="false" customHeight="false" outlineLevel="0" collapsed="false">
      <c r="A213" s="7" t="s">
        <v>932</v>
      </c>
      <c r="B213" s="7" t="s">
        <v>28</v>
      </c>
      <c r="C213" s="7" t="s">
        <v>29</v>
      </c>
      <c r="D213" s="7" t="s">
        <v>162</v>
      </c>
      <c r="E213" s="8" t="n">
        <v>75000</v>
      </c>
      <c r="F213" s="8" t="n">
        <v>4166421000</v>
      </c>
      <c r="G213" s="11" t="n">
        <f aca="false">IFERROR(E213/F213,"")</f>
        <v>1.80010613425768E-005</v>
      </c>
      <c r="H213" s="7" t="s">
        <v>380</v>
      </c>
      <c r="I213" s="7" t="s">
        <v>494</v>
      </c>
      <c r="J213" s="7" t="s">
        <v>358</v>
      </c>
      <c r="K213" s="7" t="s">
        <v>359</v>
      </c>
      <c r="L213" s="7" t="s">
        <v>360</v>
      </c>
      <c r="M213" s="7"/>
      <c r="N213" s="7" t="s">
        <v>30</v>
      </c>
      <c r="O213" s="7"/>
      <c r="P213" s="7" t="s">
        <v>361</v>
      </c>
      <c r="Q213" s="7" t="s">
        <v>30</v>
      </c>
      <c r="R213" s="7"/>
      <c r="S213" s="23" t="s">
        <v>933</v>
      </c>
    </row>
    <row r="214" customFormat="false" ht="15" hidden="false" customHeight="false" outlineLevel="0" collapsed="false">
      <c r="A214" s="19" t="s">
        <v>934</v>
      </c>
      <c r="B214" s="19" t="s">
        <v>28</v>
      </c>
      <c r="C214" s="19" t="s">
        <v>29</v>
      </c>
      <c r="D214" s="19" t="s">
        <v>162</v>
      </c>
      <c r="E214" s="20" t="n">
        <v>75000</v>
      </c>
      <c r="F214" s="20" t="n">
        <v>4166421000</v>
      </c>
      <c r="G214" s="21" t="n">
        <f aca="false">IFERROR(E214/F214,"")</f>
        <v>1.80010613425768E-005</v>
      </c>
      <c r="H214" s="19" t="s">
        <v>380</v>
      </c>
      <c r="I214" s="19" t="s">
        <v>494</v>
      </c>
      <c r="J214" s="19" t="s">
        <v>358</v>
      </c>
      <c r="K214" s="19" t="s">
        <v>359</v>
      </c>
      <c r="L214" s="19" t="s">
        <v>360</v>
      </c>
      <c r="M214" s="19"/>
      <c r="N214" s="19" t="s">
        <v>30</v>
      </c>
      <c r="O214" s="19"/>
      <c r="P214" s="19" t="s">
        <v>361</v>
      </c>
      <c r="Q214" s="19" t="s">
        <v>30</v>
      </c>
      <c r="R214" s="19"/>
      <c r="S214" s="22" t="s">
        <v>935</v>
      </c>
    </row>
    <row r="215" customFormat="false" ht="15" hidden="false" customHeight="false" outlineLevel="0" collapsed="false">
      <c r="A215" s="7" t="s">
        <v>936</v>
      </c>
      <c r="B215" s="7" t="s">
        <v>274</v>
      </c>
      <c r="C215" s="7" t="s">
        <v>49</v>
      </c>
      <c r="D215" s="7" t="s">
        <v>162</v>
      </c>
      <c r="E215" s="8" t="n">
        <v>4150</v>
      </c>
      <c r="F215" s="8" t="n">
        <v>232000000</v>
      </c>
      <c r="G215" s="11" t="n">
        <f aca="false">IFERROR(E215/F215,"")</f>
        <v>1.78879310344828E-005</v>
      </c>
      <c r="H215" s="7" t="s">
        <v>380</v>
      </c>
      <c r="I215" s="7" t="s">
        <v>414</v>
      </c>
      <c r="J215" s="7" t="s">
        <v>386</v>
      </c>
      <c r="K215" s="7" t="s">
        <v>400</v>
      </c>
      <c r="L215" s="7" t="s">
        <v>388</v>
      </c>
      <c r="M215" s="7"/>
      <c r="N215" s="7" t="s">
        <v>30</v>
      </c>
      <c r="O215" s="7"/>
      <c r="P215" s="7" t="s">
        <v>361</v>
      </c>
      <c r="Q215" s="7" t="s">
        <v>30</v>
      </c>
      <c r="R215" s="7"/>
      <c r="S215" s="23" t="s">
        <v>937</v>
      </c>
    </row>
    <row r="216" customFormat="false" ht="15" hidden="false" customHeight="false" outlineLevel="0" collapsed="false">
      <c r="A216" s="19" t="s">
        <v>938</v>
      </c>
      <c r="B216" s="19" t="s">
        <v>183</v>
      </c>
      <c r="C216" s="19" t="s">
        <v>60</v>
      </c>
      <c r="D216" s="19" t="s">
        <v>301</v>
      </c>
      <c r="E216" s="20" t="n">
        <v>50000</v>
      </c>
      <c r="F216" s="20" t="n">
        <v>2800000000</v>
      </c>
      <c r="G216" s="21" t="n">
        <f aca="false">IFERROR(E216/F216,"")</f>
        <v>1.78571428571429E-005</v>
      </c>
      <c r="H216" s="19" t="s">
        <v>364</v>
      </c>
      <c r="I216" s="19" t="s">
        <v>494</v>
      </c>
      <c r="J216" s="19" t="s">
        <v>358</v>
      </c>
      <c r="K216" s="19" t="s">
        <v>359</v>
      </c>
      <c r="L216" s="19" t="s">
        <v>558</v>
      </c>
      <c r="M216" s="19" t="s">
        <v>137</v>
      </c>
      <c r="N216" s="19" t="s">
        <v>133</v>
      </c>
      <c r="O216" s="19" t="s">
        <v>152</v>
      </c>
      <c r="P216" s="19" t="s">
        <v>361</v>
      </c>
      <c r="Q216" s="19" t="s">
        <v>36</v>
      </c>
      <c r="R216" s="19"/>
      <c r="S216" s="22" t="s">
        <v>939</v>
      </c>
    </row>
    <row r="217" customFormat="false" ht="15" hidden="false" customHeight="false" outlineLevel="0" collapsed="false">
      <c r="A217" s="7" t="s">
        <v>940</v>
      </c>
      <c r="B217" s="7" t="s">
        <v>28</v>
      </c>
      <c r="C217" s="7" t="s">
        <v>29</v>
      </c>
      <c r="D217" s="7" t="s">
        <v>140</v>
      </c>
      <c r="E217" s="8" t="n">
        <v>70000</v>
      </c>
      <c r="F217" s="8" t="n">
        <v>4166421000</v>
      </c>
      <c r="G217" s="11" t="n">
        <f aca="false">IFERROR(E217/F217,"")</f>
        <v>1.6800990586405E-005</v>
      </c>
      <c r="H217" s="7" t="s">
        <v>380</v>
      </c>
      <c r="I217" s="7" t="s">
        <v>941</v>
      </c>
      <c r="J217" s="7" t="s">
        <v>358</v>
      </c>
      <c r="K217" s="7" t="s">
        <v>366</v>
      </c>
      <c r="L217" s="7" t="s">
        <v>360</v>
      </c>
      <c r="M217" s="7"/>
      <c r="N217" s="7" t="s">
        <v>30</v>
      </c>
      <c r="O217" s="7"/>
      <c r="P217" s="7" t="s">
        <v>361</v>
      </c>
      <c r="Q217" s="7" t="s">
        <v>30</v>
      </c>
      <c r="R217" s="7"/>
      <c r="S217" s="23" t="s">
        <v>942</v>
      </c>
    </row>
    <row r="218" customFormat="false" ht="15" hidden="false" customHeight="false" outlineLevel="0" collapsed="false">
      <c r="A218" s="19" t="s">
        <v>943</v>
      </c>
      <c r="B218" s="19" t="s">
        <v>32</v>
      </c>
      <c r="C218" s="19" t="s">
        <v>29</v>
      </c>
      <c r="D218" s="19" t="s">
        <v>140</v>
      </c>
      <c r="E218" s="20" t="n">
        <v>24000</v>
      </c>
      <c r="F218" s="20" t="n">
        <v>1451400000</v>
      </c>
      <c r="G218" s="21" t="n">
        <f aca="false">IFERROR(E218/F218,"")</f>
        <v>1.65357585779248E-005</v>
      </c>
      <c r="H218" s="19" t="s">
        <v>380</v>
      </c>
      <c r="I218" s="19" t="s">
        <v>385</v>
      </c>
      <c r="J218" s="19" t="s">
        <v>386</v>
      </c>
      <c r="K218" s="19" t="s">
        <v>387</v>
      </c>
      <c r="L218" s="19" t="s">
        <v>360</v>
      </c>
      <c r="M218" s="19"/>
      <c r="N218" s="19" t="s">
        <v>30</v>
      </c>
      <c r="O218" s="19"/>
      <c r="P218" s="19" t="s">
        <v>361</v>
      </c>
      <c r="Q218" s="19" t="s">
        <v>30</v>
      </c>
      <c r="R218" s="19"/>
      <c r="S218" s="22" t="s">
        <v>944</v>
      </c>
    </row>
    <row r="219" customFormat="false" ht="15" hidden="false" customHeight="false" outlineLevel="0" collapsed="false">
      <c r="A219" s="7" t="s">
        <v>945</v>
      </c>
      <c r="B219" s="7" t="s">
        <v>283</v>
      </c>
      <c r="C219" s="7" t="s">
        <v>49</v>
      </c>
      <c r="D219" s="7" t="s">
        <v>162</v>
      </c>
      <c r="E219" s="8" t="n">
        <v>5000</v>
      </c>
      <c r="F219" s="8" t="n">
        <v>315000000</v>
      </c>
      <c r="G219" s="11" t="n">
        <f aca="false">IFERROR(E219/F219,"")</f>
        <v>1.58730158730159E-005</v>
      </c>
      <c r="H219" s="7" t="s">
        <v>370</v>
      </c>
      <c r="I219" s="7" t="s">
        <v>414</v>
      </c>
      <c r="J219" s="7" t="s">
        <v>386</v>
      </c>
      <c r="K219" s="7" t="s">
        <v>400</v>
      </c>
      <c r="L219" s="7" t="s">
        <v>388</v>
      </c>
      <c r="M219" s="7"/>
      <c r="N219" s="7" t="s">
        <v>30</v>
      </c>
      <c r="O219" s="7"/>
      <c r="P219" s="7" t="s">
        <v>361</v>
      </c>
      <c r="Q219" s="7" t="s">
        <v>30</v>
      </c>
      <c r="R219" s="7"/>
      <c r="S219" s="23" t="s">
        <v>946</v>
      </c>
    </row>
    <row r="220" customFormat="false" ht="15" hidden="false" customHeight="false" outlineLevel="0" collapsed="false">
      <c r="A220" s="19" t="s">
        <v>947</v>
      </c>
      <c r="B220" s="19" t="s">
        <v>28</v>
      </c>
      <c r="C220" s="19" t="s">
        <v>29</v>
      </c>
      <c r="D220" s="19" t="s">
        <v>140</v>
      </c>
      <c r="E220" s="20" t="n">
        <v>64000</v>
      </c>
      <c r="F220" s="20" t="n">
        <v>4166421000</v>
      </c>
      <c r="G220" s="21" t="n">
        <f aca="false">IFERROR(E220/F220,"")</f>
        <v>1.53609056789988E-005</v>
      </c>
      <c r="H220" s="19" t="s">
        <v>380</v>
      </c>
      <c r="I220" s="19" t="s">
        <v>519</v>
      </c>
      <c r="J220" s="19" t="s">
        <v>358</v>
      </c>
      <c r="K220" s="19" t="s">
        <v>359</v>
      </c>
      <c r="L220" s="19" t="s">
        <v>360</v>
      </c>
      <c r="M220" s="19"/>
      <c r="N220" s="19" t="s">
        <v>30</v>
      </c>
      <c r="O220" s="19"/>
      <c r="P220" s="19" t="s">
        <v>361</v>
      </c>
      <c r="Q220" s="19" t="s">
        <v>30</v>
      </c>
      <c r="R220" s="19"/>
      <c r="S220" s="22" t="s">
        <v>948</v>
      </c>
    </row>
    <row r="221" customFormat="false" ht="15" hidden="false" customHeight="false" outlineLevel="0" collapsed="false">
      <c r="A221" s="7" t="s">
        <v>949</v>
      </c>
      <c r="B221" s="7" t="s">
        <v>297</v>
      </c>
      <c r="C221" s="7" t="s">
        <v>49</v>
      </c>
      <c r="D221" s="7" t="s">
        <v>140</v>
      </c>
      <c r="E221" s="8" t="n">
        <v>2000</v>
      </c>
      <c r="F221" s="8" t="n">
        <v>132681900</v>
      </c>
      <c r="G221" s="11" t="n">
        <f aca="false">IFERROR(E221/F221,"")</f>
        <v>1.50736460662683E-005</v>
      </c>
      <c r="H221" s="7" t="s">
        <v>487</v>
      </c>
      <c r="I221" s="7" t="s">
        <v>414</v>
      </c>
      <c r="J221" s="7" t="s">
        <v>386</v>
      </c>
      <c r="K221" s="7" t="s">
        <v>400</v>
      </c>
      <c r="L221" s="7" t="s">
        <v>388</v>
      </c>
      <c r="M221" s="7"/>
      <c r="N221" s="7" t="s">
        <v>30</v>
      </c>
      <c r="O221" s="7"/>
      <c r="P221" s="7" t="s">
        <v>361</v>
      </c>
      <c r="Q221" s="7" t="s">
        <v>30</v>
      </c>
      <c r="R221" s="7"/>
      <c r="S221" s="23" t="s">
        <v>950</v>
      </c>
    </row>
    <row r="222" customFormat="false" ht="15" hidden="false" customHeight="false" outlineLevel="0" collapsed="false">
      <c r="A222" s="19" t="s">
        <v>951</v>
      </c>
      <c r="B222" s="19" t="s">
        <v>28</v>
      </c>
      <c r="C222" s="19" t="s">
        <v>29</v>
      </c>
      <c r="D222" s="19" t="s">
        <v>223</v>
      </c>
      <c r="E222" s="20" t="n">
        <v>60000</v>
      </c>
      <c r="F222" s="20" t="n">
        <v>4166421000</v>
      </c>
      <c r="G222" s="21" t="n">
        <f aca="false">IFERROR(E222/F222,"")</f>
        <v>1.44008490740614E-005</v>
      </c>
      <c r="H222" s="19" t="s">
        <v>380</v>
      </c>
      <c r="I222" s="19" t="s">
        <v>519</v>
      </c>
      <c r="J222" s="19" t="s">
        <v>358</v>
      </c>
      <c r="K222" s="19" t="s">
        <v>359</v>
      </c>
      <c r="L222" s="19" t="s">
        <v>360</v>
      </c>
      <c r="M222" s="19"/>
      <c r="N222" s="19" t="s">
        <v>30</v>
      </c>
      <c r="O222" s="19"/>
      <c r="P222" s="19" t="s">
        <v>361</v>
      </c>
      <c r="Q222" s="19" t="s">
        <v>30</v>
      </c>
      <c r="R222" s="19"/>
      <c r="S222" s="22" t="s">
        <v>952</v>
      </c>
    </row>
    <row r="223" customFormat="false" ht="15" hidden="false" customHeight="false" outlineLevel="0" collapsed="false">
      <c r="A223" s="7" t="s">
        <v>953</v>
      </c>
      <c r="B223" s="7" t="s">
        <v>28</v>
      </c>
      <c r="C223" s="7" t="s">
        <v>29</v>
      </c>
      <c r="D223" s="7" t="s">
        <v>223</v>
      </c>
      <c r="E223" s="8" t="n">
        <v>60000</v>
      </c>
      <c r="F223" s="8" t="n">
        <v>4166421000</v>
      </c>
      <c r="G223" s="11" t="n">
        <f aca="false">IFERROR(E223/F223,"")</f>
        <v>1.44008490740614E-005</v>
      </c>
      <c r="H223" s="7" t="s">
        <v>380</v>
      </c>
      <c r="I223" s="7" t="s">
        <v>371</v>
      </c>
      <c r="J223" s="7" t="s">
        <v>358</v>
      </c>
      <c r="K223" s="7" t="s">
        <v>372</v>
      </c>
      <c r="L223" s="7" t="s">
        <v>360</v>
      </c>
      <c r="M223" s="7"/>
      <c r="N223" s="7" t="s">
        <v>30</v>
      </c>
      <c r="O223" s="7"/>
      <c r="P223" s="7" t="s">
        <v>361</v>
      </c>
      <c r="Q223" s="7" t="s">
        <v>30</v>
      </c>
      <c r="R223" s="7"/>
      <c r="S223" s="23" t="s">
        <v>954</v>
      </c>
    </row>
    <row r="224" customFormat="false" ht="15" hidden="false" customHeight="false" outlineLevel="0" collapsed="false">
      <c r="A224" s="19" t="s">
        <v>955</v>
      </c>
      <c r="B224" s="19" t="s">
        <v>28</v>
      </c>
      <c r="C224" s="19" t="s">
        <v>29</v>
      </c>
      <c r="D224" s="19" t="s">
        <v>162</v>
      </c>
      <c r="E224" s="20" t="n">
        <v>60000</v>
      </c>
      <c r="F224" s="20" t="n">
        <v>4166421000</v>
      </c>
      <c r="G224" s="21" t="n">
        <f aca="false">IFERROR(E224/F224,"")</f>
        <v>1.44008490740614E-005</v>
      </c>
      <c r="H224" s="19" t="s">
        <v>380</v>
      </c>
      <c r="I224" s="19" t="s">
        <v>494</v>
      </c>
      <c r="J224" s="19" t="s">
        <v>358</v>
      </c>
      <c r="K224" s="19" t="s">
        <v>359</v>
      </c>
      <c r="L224" s="19" t="s">
        <v>360</v>
      </c>
      <c r="M224" s="19"/>
      <c r="N224" s="19" t="s">
        <v>30</v>
      </c>
      <c r="O224" s="19"/>
      <c r="P224" s="19" t="s">
        <v>361</v>
      </c>
      <c r="Q224" s="19" t="s">
        <v>30</v>
      </c>
      <c r="R224" s="19"/>
      <c r="S224" s="22" t="s">
        <v>956</v>
      </c>
    </row>
    <row r="225" customFormat="false" ht="15" hidden="false" customHeight="false" outlineLevel="0" collapsed="false">
      <c r="A225" s="7" t="s">
        <v>957</v>
      </c>
      <c r="B225" s="7" t="s">
        <v>28</v>
      </c>
      <c r="C225" s="7" t="s">
        <v>29</v>
      </c>
      <c r="D225" s="7" t="s">
        <v>162</v>
      </c>
      <c r="E225" s="8" t="n">
        <v>60000</v>
      </c>
      <c r="F225" s="8" t="n">
        <v>4166421000</v>
      </c>
      <c r="G225" s="11" t="n">
        <f aca="false">IFERROR(E225/F225,"")</f>
        <v>1.44008490740614E-005</v>
      </c>
      <c r="H225" s="7" t="s">
        <v>380</v>
      </c>
      <c r="I225" s="7" t="s">
        <v>494</v>
      </c>
      <c r="J225" s="7" t="s">
        <v>358</v>
      </c>
      <c r="K225" s="7" t="s">
        <v>359</v>
      </c>
      <c r="L225" s="7" t="s">
        <v>360</v>
      </c>
      <c r="M225" s="7"/>
      <c r="N225" s="7" t="s">
        <v>30</v>
      </c>
      <c r="O225" s="7"/>
      <c r="P225" s="7" t="s">
        <v>361</v>
      </c>
      <c r="Q225" s="7" t="s">
        <v>30</v>
      </c>
      <c r="R225" s="7"/>
      <c r="S225" s="23" t="s">
        <v>958</v>
      </c>
    </row>
    <row r="226" customFormat="false" ht="15" hidden="false" customHeight="false" outlineLevel="0" collapsed="false">
      <c r="A226" s="19" t="s">
        <v>959</v>
      </c>
      <c r="B226" s="19" t="s">
        <v>28</v>
      </c>
      <c r="C226" s="19" t="s">
        <v>29</v>
      </c>
      <c r="D226" s="19" t="s">
        <v>140</v>
      </c>
      <c r="E226" s="20" t="n">
        <v>60000</v>
      </c>
      <c r="F226" s="20" t="n">
        <v>4166421000</v>
      </c>
      <c r="G226" s="21" t="n">
        <f aca="false">IFERROR(E226/F226,"")</f>
        <v>1.44008490740614E-005</v>
      </c>
      <c r="H226" s="19" t="s">
        <v>380</v>
      </c>
      <c r="I226" s="19" t="s">
        <v>519</v>
      </c>
      <c r="J226" s="19" t="s">
        <v>358</v>
      </c>
      <c r="K226" s="19" t="s">
        <v>359</v>
      </c>
      <c r="L226" s="19" t="s">
        <v>360</v>
      </c>
      <c r="M226" s="19"/>
      <c r="N226" s="19" t="s">
        <v>30</v>
      </c>
      <c r="O226" s="19"/>
      <c r="P226" s="19" t="s">
        <v>361</v>
      </c>
      <c r="Q226" s="19" t="s">
        <v>30</v>
      </c>
      <c r="R226" s="19"/>
      <c r="S226" s="22" t="s">
        <v>960</v>
      </c>
    </row>
    <row r="227" customFormat="false" ht="15" hidden="false" customHeight="false" outlineLevel="0" collapsed="false">
      <c r="A227" s="7" t="s">
        <v>961</v>
      </c>
      <c r="B227" s="7" t="s">
        <v>48</v>
      </c>
      <c r="C227" s="7" t="s">
        <v>49</v>
      </c>
      <c r="D227" s="7" t="s">
        <v>301</v>
      </c>
      <c r="E227" s="8" t="n">
        <v>15000</v>
      </c>
      <c r="F227" s="8" t="n">
        <v>1051000000</v>
      </c>
      <c r="G227" s="11" t="n">
        <f aca="false">IFERROR(E227/F227,"")</f>
        <v>1.42721217887726E-005</v>
      </c>
      <c r="H227" s="7" t="s">
        <v>380</v>
      </c>
      <c r="I227" s="7" t="s">
        <v>414</v>
      </c>
      <c r="J227" s="7" t="s">
        <v>386</v>
      </c>
      <c r="K227" s="7" t="s">
        <v>400</v>
      </c>
      <c r="L227" s="7" t="s">
        <v>388</v>
      </c>
      <c r="M227" s="7" t="s">
        <v>132</v>
      </c>
      <c r="N227" s="7" t="s">
        <v>133</v>
      </c>
      <c r="O227" s="7" t="s">
        <v>134</v>
      </c>
      <c r="P227" s="7" t="s">
        <v>361</v>
      </c>
      <c r="Q227" s="7" t="s">
        <v>36</v>
      </c>
      <c r="R227" s="7"/>
      <c r="S227" s="23" t="s">
        <v>962</v>
      </c>
    </row>
    <row r="228" customFormat="false" ht="15" hidden="false" customHeight="false" outlineLevel="0" collapsed="false">
      <c r="A228" s="19" t="s">
        <v>963</v>
      </c>
      <c r="B228" s="19" t="s">
        <v>32</v>
      </c>
      <c r="C228" s="19" t="s">
        <v>29</v>
      </c>
      <c r="D228" s="19" t="s">
        <v>162</v>
      </c>
      <c r="E228" s="20" t="n">
        <v>20000</v>
      </c>
      <c r="F228" s="20" t="n">
        <v>1451400000</v>
      </c>
      <c r="G228" s="21" t="n">
        <f aca="false">IFERROR(E228/F228,"")</f>
        <v>1.37797988149373E-005</v>
      </c>
      <c r="H228" s="19" t="s">
        <v>380</v>
      </c>
      <c r="I228" s="19" t="s">
        <v>964</v>
      </c>
      <c r="J228" s="19" t="s">
        <v>386</v>
      </c>
      <c r="K228" s="19" t="s">
        <v>359</v>
      </c>
      <c r="L228" s="19" t="s">
        <v>360</v>
      </c>
      <c r="M228" s="19"/>
      <c r="N228" s="19" t="s">
        <v>30</v>
      </c>
      <c r="O228" s="19"/>
      <c r="P228" s="19" t="s">
        <v>361</v>
      </c>
      <c r="Q228" s="19" t="s">
        <v>30</v>
      </c>
      <c r="R228" s="19"/>
      <c r="S228" s="22" t="s">
        <v>965</v>
      </c>
    </row>
    <row r="229" customFormat="false" ht="15" hidden="false" customHeight="false" outlineLevel="0" collapsed="false">
      <c r="A229" s="7" t="s">
        <v>966</v>
      </c>
      <c r="B229" s="7" t="s">
        <v>196</v>
      </c>
      <c r="C229" s="7" t="s">
        <v>29</v>
      </c>
      <c r="D229" s="7" t="s">
        <v>132</v>
      </c>
      <c r="E229" s="8" t="n">
        <v>400</v>
      </c>
      <c r="F229" s="8" t="n">
        <v>29400000</v>
      </c>
      <c r="G229" s="11" t="n">
        <f aca="false">IFERROR(E229/F229,"")</f>
        <v>1.36054421768707E-005</v>
      </c>
      <c r="H229" s="7" t="s">
        <v>370</v>
      </c>
      <c r="I229" s="7" t="s">
        <v>385</v>
      </c>
      <c r="J229" s="7" t="s">
        <v>386</v>
      </c>
      <c r="K229" s="7" t="s">
        <v>387</v>
      </c>
      <c r="L229" s="7" t="s">
        <v>360</v>
      </c>
      <c r="M229" s="7" t="s">
        <v>132</v>
      </c>
      <c r="N229" s="7" t="s">
        <v>141</v>
      </c>
      <c r="O229" s="7" t="s">
        <v>197</v>
      </c>
      <c r="P229" s="7" t="s">
        <v>361</v>
      </c>
      <c r="Q229" s="7" t="s">
        <v>36</v>
      </c>
      <c r="R229" s="7"/>
      <c r="S229" s="23" t="s">
        <v>967</v>
      </c>
    </row>
    <row r="230" customFormat="false" ht="15" hidden="false" customHeight="false" outlineLevel="0" collapsed="false">
      <c r="A230" s="19" t="s">
        <v>968</v>
      </c>
      <c r="B230" s="19" t="s">
        <v>801</v>
      </c>
      <c r="C230" s="19" t="s">
        <v>29</v>
      </c>
      <c r="D230" s="19" t="s">
        <v>132</v>
      </c>
      <c r="E230" s="20" t="n">
        <v>56000</v>
      </c>
      <c r="F230" s="20" t="n">
        <v>4166421000</v>
      </c>
      <c r="G230" s="21" t="n">
        <f aca="false">IFERROR(E230/F230,"")</f>
        <v>1.3440792469124E-005</v>
      </c>
      <c r="H230" s="19" t="s">
        <v>380</v>
      </c>
      <c r="I230" s="19" t="s">
        <v>519</v>
      </c>
      <c r="J230" s="19" t="s">
        <v>358</v>
      </c>
      <c r="K230" s="19" t="s">
        <v>359</v>
      </c>
      <c r="L230" s="19" t="s">
        <v>360</v>
      </c>
      <c r="M230" s="19"/>
      <c r="N230" s="19" t="s">
        <v>30</v>
      </c>
      <c r="O230" s="19"/>
      <c r="P230" s="19" t="s">
        <v>361</v>
      </c>
      <c r="Q230" s="19" t="s">
        <v>30</v>
      </c>
      <c r="R230" s="19"/>
      <c r="S230" s="22" t="s">
        <v>969</v>
      </c>
    </row>
    <row r="231" customFormat="false" ht="15" hidden="false" customHeight="false" outlineLevel="0" collapsed="false">
      <c r="A231" s="7" t="s">
        <v>970</v>
      </c>
      <c r="B231" s="7" t="s">
        <v>801</v>
      </c>
      <c r="C231" s="7" t="s">
        <v>29</v>
      </c>
      <c r="D231" s="7" t="s">
        <v>291</v>
      </c>
      <c r="E231" s="8" t="n">
        <v>56000</v>
      </c>
      <c r="F231" s="8" t="n">
        <v>4166421000</v>
      </c>
      <c r="G231" s="11" t="n">
        <f aca="false">IFERROR(E231/F231,"")</f>
        <v>1.3440792469124E-005</v>
      </c>
      <c r="H231" s="7" t="s">
        <v>380</v>
      </c>
      <c r="I231" s="7" t="s">
        <v>519</v>
      </c>
      <c r="J231" s="7" t="s">
        <v>358</v>
      </c>
      <c r="K231" s="7" t="s">
        <v>359</v>
      </c>
      <c r="L231" s="7" t="s">
        <v>360</v>
      </c>
      <c r="M231" s="7"/>
      <c r="N231" s="7" t="s">
        <v>30</v>
      </c>
      <c r="O231" s="7"/>
      <c r="P231" s="7" t="s">
        <v>361</v>
      </c>
      <c r="Q231" s="7" t="s">
        <v>30</v>
      </c>
      <c r="R231" s="7"/>
      <c r="S231" s="23" t="s">
        <v>971</v>
      </c>
    </row>
    <row r="232" customFormat="false" ht="15" hidden="false" customHeight="false" outlineLevel="0" collapsed="false">
      <c r="A232" s="19" t="s">
        <v>972</v>
      </c>
      <c r="B232" s="19" t="s">
        <v>28</v>
      </c>
      <c r="C232" s="19" t="s">
        <v>29</v>
      </c>
      <c r="D232" s="19" t="s">
        <v>291</v>
      </c>
      <c r="E232" s="20" t="n">
        <v>56000</v>
      </c>
      <c r="F232" s="20" t="n">
        <v>4166421000</v>
      </c>
      <c r="G232" s="21" t="n">
        <f aca="false">IFERROR(E232/F232,"")</f>
        <v>1.3440792469124E-005</v>
      </c>
      <c r="H232" s="19" t="s">
        <v>380</v>
      </c>
      <c r="I232" s="19" t="s">
        <v>519</v>
      </c>
      <c r="J232" s="19" t="s">
        <v>358</v>
      </c>
      <c r="K232" s="19" t="s">
        <v>359</v>
      </c>
      <c r="L232" s="19" t="s">
        <v>360</v>
      </c>
      <c r="M232" s="19"/>
      <c r="N232" s="19" t="s">
        <v>30</v>
      </c>
      <c r="O232" s="19"/>
      <c r="P232" s="19" t="s">
        <v>361</v>
      </c>
      <c r="Q232" s="19" t="s">
        <v>30</v>
      </c>
      <c r="R232" s="19"/>
      <c r="S232" s="22" t="s">
        <v>973</v>
      </c>
    </row>
    <row r="233" customFormat="false" ht="15" hidden="false" customHeight="false" outlineLevel="0" collapsed="false">
      <c r="A233" s="7" t="s">
        <v>974</v>
      </c>
      <c r="B233" s="7" t="s">
        <v>28</v>
      </c>
      <c r="C233" s="7" t="s">
        <v>29</v>
      </c>
      <c r="D233" s="7" t="s">
        <v>291</v>
      </c>
      <c r="E233" s="8" t="n">
        <v>56000</v>
      </c>
      <c r="F233" s="8" t="n">
        <v>4166421000</v>
      </c>
      <c r="G233" s="11" t="n">
        <f aca="false">IFERROR(E233/F233,"")</f>
        <v>1.3440792469124E-005</v>
      </c>
      <c r="H233" s="7" t="s">
        <v>380</v>
      </c>
      <c r="I233" s="7" t="s">
        <v>468</v>
      </c>
      <c r="J233" s="7" t="s">
        <v>358</v>
      </c>
      <c r="K233" s="7" t="s">
        <v>372</v>
      </c>
      <c r="L233" s="7" t="s">
        <v>360</v>
      </c>
      <c r="M233" s="7"/>
      <c r="N233" s="7" t="s">
        <v>30</v>
      </c>
      <c r="O233" s="7"/>
      <c r="P233" s="7" t="s">
        <v>361</v>
      </c>
      <c r="Q233" s="7" t="s">
        <v>30</v>
      </c>
      <c r="R233" s="7"/>
      <c r="S233" s="23" t="s">
        <v>975</v>
      </c>
    </row>
    <row r="234" customFormat="false" ht="15" hidden="false" customHeight="false" outlineLevel="0" collapsed="false">
      <c r="A234" s="19" t="s">
        <v>976</v>
      </c>
      <c r="B234" s="19" t="s">
        <v>28</v>
      </c>
      <c r="C234" s="19" t="s">
        <v>29</v>
      </c>
      <c r="D234" s="19" t="s">
        <v>291</v>
      </c>
      <c r="E234" s="20" t="n">
        <v>56000</v>
      </c>
      <c r="F234" s="20" t="n">
        <v>4166421000</v>
      </c>
      <c r="G234" s="21" t="n">
        <f aca="false">IFERROR(E234/F234,"")</f>
        <v>1.3440792469124E-005</v>
      </c>
      <c r="H234" s="19" t="s">
        <v>380</v>
      </c>
      <c r="I234" s="19" t="s">
        <v>519</v>
      </c>
      <c r="J234" s="19" t="s">
        <v>358</v>
      </c>
      <c r="K234" s="19" t="s">
        <v>359</v>
      </c>
      <c r="L234" s="19" t="s">
        <v>360</v>
      </c>
      <c r="M234" s="19"/>
      <c r="N234" s="19" t="s">
        <v>30</v>
      </c>
      <c r="O234" s="19"/>
      <c r="P234" s="19" t="s">
        <v>361</v>
      </c>
      <c r="Q234" s="19" t="s">
        <v>30</v>
      </c>
      <c r="R234" s="19"/>
      <c r="S234" s="22" t="s">
        <v>977</v>
      </c>
    </row>
    <row r="235" customFormat="false" ht="15" hidden="false" customHeight="false" outlineLevel="0" collapsed="false">
      <c r="A235" s="7" t="s">
        <v>978</v>
      </c>
      <c r="B235" s="7" t="s">
        <v>28</v>
      </c>
      <c r="C235" s="7" t="s">
        <v>29</v>
      </c>
      <c r="D235" s="7" t="s">
        <v>291</v>
      </c>
      <c r="E235" s="8" t="n">
        <v>56000</v>
      </c>
      <c r="F235" s="8" t="n">
        <v>4166421000</v>
      </c>
      <c r="G235" s="11" t="n">
        <f aca="false">IFERROR(E235/F235,"")</f>
        <v>1.3440792469124E-005</v>
      </c>
      <c r="H235" s="7" t="s">
        <v>380</v>
      </c>
      <c r="I235" s="7" t="s">
        <v>519</v>
      </c>
      <c r="J235" s="7" t="s">
        <v>358</v>
      </c>
      <c r="K235" s="7" t="s">
        <v>359</v>
      </c>
      <c r="L235" s="7" t="s">
        <v>360</v>
      </c>
      <c r="M235" s="7"/>
      <c r="N235" s="7" t="s">
        <v>30</v>
      </c>
      <c r="O235" s="7"/>
      <c r="P235" s="7" t="s">
        <v>361</v>
      </c>
      <c r="Q235" s="7" t="s">
        <v>30</v>
      </c>
      <c r="R235" s="7"/>
      <c r="S235" s="23" t="s">
        <v>979</v>
      </c>
    </row>
    <row r="236" customFormat="false" ht="15" hidden="false" customHeight="false" outlineLevel="0" collapsed="false">
      <c r="A236" s="19" t="s">
        <v>980</v>
      </c>
      <c r="B236" s="19" t="s">
        <v>28</v>
      </c>
      <c r="C236" s="19" t="s">
        <v>29</v>
      </c>
      <c r="D236" s="19" t="s">
        <v>291</v>
      </c>
      <c r="E236" s="20" t="n">
        <v>56000</v>
      </c>
      <c r="F236" s="20" t="n">
        <v>4166421000</v>
      </c>
      <c r="G236" s="21" t="n">
        <f aca="false">IFERROR(E236/F236,"")</f>
        <v>1.3440792469124E-005</v>
      </c>
      <c r="H236" s="19" t="s">
        <v>380</v>
      </c>
      <c r="I236" s="19" t="s">
        <v>519</v>
      </c>
      <c r="J236" s="19" t="s">
        <v>358</v>
      </c>
      <c r="K236" s="19" t="s">
        <v>359</v>
      </c>
      <c r="L236" s="19" t="s">
        <v>360</v>
      </c>
      <c r="M236" s="19"/>
      <c r="N236" s="19" t="s">
        <v>30</v>
      </c>
      <c r="O236" s="19"/>
      <c r="P236" s="19" t="s">
        <v>361</v>
      </c>
      <c r="Q236" s="19" t="s">
        <v>30</v>
      </c>
      <c r="R236" s="19"/>
      <c r="S236" s="22" t="s">
        <v>981</v>
      </c>
    </row>
    <row r="237" customFormat="false" ht="15" hidden="false" customHeight="false" outlineLevel="0" collapsed="false">
      <c r="A237" s="7" t="s">
        <v>982</v>
      </c>
      <c r="B237" s="7" t="s">
        <v>28</v>
      </c>
      <c r="C237" s="7" t="s">
        <v>29</v>
      </c>
      <c r="D237" s="7" t="s">
        <v>132</v>
      </c>
      <c r="E237" s="8" t="n">
        <v>56000</v>
      </c>
      <c r="F237" s="8" t="n">
        <v>4166421000</v>
      </c>
      <c r="G237" s="11" t="n">
        <f aca="false">IFERROR(E237/F237,"")</f>
        <v>1.3440792469124E-005</v>
      </c>
      <c r="H237" s="7" t="s">
        <v>364</v>
      </c>
      <c r="I237" s="7" t="s">
        <v>519</v>
      </c>
      <c r="J237" s="7" t="s">
        <v>358</v>
      </c>
      <c r="K237" s="7" t="s">
        <v>359</v>
      </c>
      <c r="L237" s="7" t="s">
        <v>360</v>
      </c>
      <c r="M237" s="7"/>
      <c r="N237" s="7" t="s">
        <v>30</v>
      </c>
      <c r="O237" s="7"/>
      <c r="P237" s="7" t="s">
        <v>361</v>
      </c>
      <c r="Q237" s="7" t="s">
        <v>30</v>
      </c>
      <c r="R237" s="7"/>
      <c r="S237" s="23" t="s">
        <v>983</v>
      </c>
    </row>
    <row r="238" customFormat="false" ht="15" hidden="false" customHeight="false" outlineLevel="0" collapsed="false">
      <c r="A238" s="19" t="s">
        <v>984</v>
      </c>
      <c r="B238" s="19" t="s">
        <v>28</v>
      </c>
      <c r="C238" s="19" t="s">
        <v>29</v>
      </c>
      <c r="D238" s="19" t="s">
        <v>132</v>
      </c>
      <c r="E238" s="20" t="n">
        <v>56000</v>
      </c>
      <c r="F238" s="20" t="n">
        <v>4166421000</v>
      </c>
      <c r="G238" s="21" t="n">
        <f aca="false">IFERROR(E238/F238,"")</f>
        <v>1.3440792469124E-005</v>
      </c>
      <c r="H238" s="19" t="s">
        <v>380</v>
      </c>
      <c r="I238" s="19" t="s">
        <v>519</v>
      </c>
      <c r="J238" s="19" t="s">
        <v>358</v>
      </c>
      <c r="K238" s="19" t="s">
        <v>359</v>
      </c>
      <c r="L238" s="19" t="s">
        <v>360</v>
      </c>
      <c r="M238" s="19"/>
      <c r="N238" s="19" t="s">
        <v>30</v>
      </c>
      <c r="O238" s="19"/>
      <c r="P238" s="19" t="s">
        <v>361</v>
      </c>
      <c r="Q238" s="19" t="s">
        <v>30</v>
      </c>
      <c r="R238" s="19"/>
      <c r="S238" s="22" t="s">
        <v>985</v>
      </c>
    </row>
    <row r="239" customFormat="false" ht="15" hidden="false" customHeight="false" outlineLevel="0" collapsed="false">
      <c r="A239" s="7" t="s">
        <v>986</v>
      </c>
      <c r="B239" s="7" t="s">
        <v>28</v>
      </c>
      <c r="C239" s="7" t="s">
        <v>29</v>
      </c>
      <c r="D239" s="7" t="s">
        <v>132</v>
      </c>
      <c r="E239" s="8" t="n">
        <v>56000</v>
      </c>
      <c r="F239" s="8" t="n">
        <v>4166421000</v>
      </c>
      <c r="G239" s="11" t="n">
        <f aca="false">IFERROR(E239/F239,"")</f>
        <v>1.3440792469124E-005</v>
      </c>
      <c r="H239" s="7" t="s">
        <v>380</v>
      </c>
      <c r="I239" s="7" t="s">
        <v>519</v>
      </c>
      <c r="J239" s="7" t="s">
        <v>358</v>
      </c>
      <c r="K239" s="7" t="s">
        <v>359</v>
      </c>
      <c r="L239" s="7" t="s">
        <v>360</v>
      </c>
      <c r="M239" s="7"/>
      <c r="N239" s="7" t="s">
        <v>30</v>
      </c>
      <c r="O239" s="7"/>
      <c r="P239" s="7" t="s">
        <v>361</v>
      </c>
      <c r="Q239" s="7" t="s">
        <v>30</v>
      </c>
      <c r="R239" s="7"/>
      <c r="S239" s="23" t="s">
        <v>987</v>
      </c>
    </row>
    <row r="240" customFormat="false" ht="15" hidden="false" customHeight="false" outlineLevel="0" collapsed="false">
      <c r="A240" s="19" t="s">
        <v>988</v>
      </c>
      <c r="B240" s="19" t="s">
        <v>28</v>
      </c>
      <c r="C240" s="19" t="s">
        <v>29</v>
      </c>
      <c r="D240" s="19" t="s">
        <v>132</v>
      </c>
      <c r="E240" s="20" t="n">
        <v>56000</v>
      </c>
      <c r="F240" s="20" t="n">
        <v>4166421000</v>
      </c>
      <c r="G240" s="21" t="n">
        <f aca="false">IFERROR(E240/F240,"")</f>
        <v>1.3440792469124E-005</v>
      </c>
      <c r="H240" s="19" t="s">
        <v>380</v>
      </c>
      <c r="I240" s="19" t="s">
        <v>519</v>
      </c>
      <c r="J240" s="19" t="s">
        <v>358</v>
      </c>
      <c r="K240" s="19" t="s">
        <v>359</v>
      </c>
      <c r="L240" s="19" t="s">
        <v>360</v>
      </c>
      <c r="M240" s="19"/>
      <c r="N240" s="19" t="s">
        <v>30</v>
      </c>
      <c r="O240" s="19"/>
      <c r="P240" s="19" t="s">
        <v>361</v>
      </c>
      <c r="Q240" s="19" t="s">
        <v>30</v>
      </c>
      <c r="R240" s="19"/>
      <c r="S240" s="22" t="s">
        <v>989</v>
      </c>
    </row>
    <row r="241" customFormat="false" ht="15" hidden="false" customHeight="false" outlineLevel="0" collapsed="false">
      <c r="A241" s="7" t="s">
        <v>990</v>
      </c>
      <c r="B241" s="7" t="s">
        <v>28</v>
      </c>
      <c r="C241" s="7" t="s">
        <v>29</v>
      </c>
      <c r="D241" s="7" t="s">
        <v>140</v>
      </c>
      <c r="E241" s="8" t="n">
        <v>56000</v>
      </c>
      <c r="F241" s="8" t="n">
        <v>4166421000</v>
      </c>
      <c r="G241" s="11" t="n">
        <f aca="false">IFERROR(E241/F241,"")</f>
        <v>1.3440792469124E-005</v>
      </c>
      <c r="H241" s="7" t="s">
        <v>380</v>
      </c>
      <c r="I241" s="7" t="s">
        <v>519</v>
      </c>
      <c r="J241" s="7" t="s">
        <v>358</v>
      </c>
      <c r="K241" s="7" t="s">
        <v>359</v>
      </c>
      <c r="L241" s="7" t="s">
        <v>360</v>
      </c>
      <c r="M241" s="7"/>
      <c r="N241" s="7" t="s">
        <v>30</v>
      </c>
      <c r="O241" s="7"/>
      <c r="P241" s="7" t="s">
        <v>361</v>
      </c>
      <c r="Q241" s="7" t="s">
        <v>30</v>
      </c>
      <c r="R241" s="7"/>
      <c r="S241" s="23" t="s">
        <v>991</v>
      </c>
    </row>
    <row r="242" customFormat="false" ht="15" hidden="false" customHeight="false" outlineLevel="0" collapsed="false">
      <c r="A242" s="19" t="s">
        <v>992</v>
      </c>
      <c r="B242" s="19" t="s">
        <v>28</v>
      </c>
      <c r="C242" s="19" t="s">
        <v>29</v>
      </c>
      <c r="D242" s="19" t="s">
        <v>140</v>
      </c>
      <c r="E242" s="20" t="n">
        <v>56000</v>
      </c>
      <c r="F242" s="20" t="n">
        <v>4166421000</v>
      </c>
      <c r="G242" s="21" t="n">
        <f aca="false">IFERROR(E242/F242,"")</f>
        <v>1.3440792469124E-005</v>
      </c>
      <c r="H242" s="19" t="s">
        <v>380</v>
      </c>
      <c r="I242" s="19" t="s">
        <v>519</v>
      </c>
      <c r="J242" s="19" t="s">
        <v>358</v>
      </c>
      <c r="K242" s="19" t="s">
        <v>359</v>
      </c>
      <c r="L242" s="19" t="s">
        <v>360</v>
      </c>
      <c r="M242" s="19"/>
      <c r="N242" s="19" t="s">
        <v>30</v>
      </c>
      <c r="O242" s="19"/>
      <c r="P242" s="19" t="s">
        <v>361</v>
      </c>
      <c r="Q242" s="19" t="s">
        <v>30</v>
      </c>
      <c r="R242" s="19"/>
      <c r="S242" s="22" t="s">
        <v>993</v>
      </c>
    </row>
    <row r="243" customFormat="false" ht="15" hidden="false" customHeight="false" outlineLevel="0" collapsed="false">
      <c r="A243" s="7" t="s">
        <v>994</v>
      </c>
      <c r="B243" s="7" t="s">
        <v>28</v>
      </c>
      <c r="C243" s="7" t="s">
        <v>29</v>
      </c>
      <c r="D243" s="7" t="s">
        <v>140</v>
      </c>
      <c r="E243" s="8" t="n">
        <v>56000</v>
      </c>
      <c r="F243" s="8" t="n">
        <v>4166421000</v>
      </c>
      <c r="G243" s="11" t="n">
        <f aca="false">IFERROR(E243/F243,"")</f>
        <v>1.3440792469124E-005</v>
      </c>
      <c r="H243" s="7" t="s">
        <v>380</v>
      </c>
      <c r="I243" s="7" t="s">
        <v>519</v>
      </c>
      <c r="J243" s="7" t="s">
        <v>358</v>
      </c>
      <c r="K243" s="7" t="s">
        <v>359</v>
      </c>
      <c r="L243" s="7" t="s">
        <v>360</v>
      </c>
      <c r="M243" s="7"/>
      <c r="N243" s="7" t="s">
        <v>30</v>
      </c>
      <c r="O243" s="7"/>
      <c r="P243" s="7" t="s">
        <v>361</v>
      </c>
      <c r="Q243" s="7" t="s">
        <v>30</v>
      </c>
      <c r="R243" s="7"/>
      <c r="S243" s="23" t="s">
        <v>995</v>
      </c>
    </row>
    <row r="244" customFormat="false" ht="15" hidden="false" customHeight="false" outlineLevel="0" collapsed="false">
      <c r="A244" s="19" t="s">
        <v>996</v>
      </c>
      <c r="B244" s="19" t="s">
        <v>28</v>
      </c>
      <c r="C244" s="19" t="s">
        <v>29</v>
      </c>
      <c r="D244" s="19" t="s">
        <v>140</v>
      </c>
      <c r="E244" s="20" t="n">
        <v>56000</v>
      </c>
      <c r="F244" s="20" t="n">
        <v>4166421000</v>
      </c>
      <c r="G244" s="21" t="n">
        <f aca="false">IFERROR(E244/F244,"")</f>
        <v>1.3440792469124E-005</v>
      </c>
      <c r="H244" s="19" t="s">
        <v>380</v>
      </c>
      <c r="I244" s="19" t="s">
        <v>519</v>
      </c>
      <c r="J244" s="19" t="s">
        <v>358</v>
      </c>
      <c r="K244" s="19" t="s">
        <v>359</v>
      </c>
      <c r="L244" s="19" t="s">
        <v>360</v>
      </c>
      <c r="M244" s="19"/>
      <c r="N244" s="19" t="s">
        <v>30</v>
      </c>
      <c r="O244" s="19"/>
      <c r="P244" s="19" t="s">
        <v>361</v>
      </c>
      <c r="Q244" s="19" t="s">
        <v>30</v>
      </c>
      <c r="R244" s="19"/>
      <c r="S244" s="22" t="s">
        <v>997</v>
      </c>
    </row>
    <row r="245" customFormat="false" ht="15" hidden="false" customHeight="false" outlineLevel="0" collapsed="false">
      <c r="A245" s="7" t="s">
        <v>998</v>
      </c>
      <c r="B245" s="7" t="s">
        <v>28</v>
      </c>
      <c r="C245" s="7" t="s">
        <v>29</v>
      </c>
      <c r="D245" s="7" t="s">
        <v>140</v>
      </c>
      <c r="E245" s="8" t="n">
        <v>54000</v>
      </c>
      <c r="F245" s="8" t="n">
        <v>4166421000</v>
      </c>
      <c r="G245" s="11" t="n">
        <f aca="false">IFERROR(E245/F245,"")</f>
        <v>1.29607641666553E-005</v>
      </c>
      <c r="H245" s="7" t="s">
        <v>380</v>
      </c>
      <c r="I245" s="7" t="s">
        <v>371</v>
      </c>
      <c r="J245" s="7" t="s">
        <v>358</v>
      </c>
      <c r="K245" s="7" t="s">
        <v>372</v>
      </c>
      <c r="L245" s="7" t="s">
        <v>360</v>
      </c>
      <c r="M245" s="7"/>
      <c r="N245" s="7" t="s">
        <v>30</v>
      </c>
      <c r="O245" s="7"/>
      <c r="P245" s="7" t="s">
        <v>361</v>
      </c>
      <c r="Q245" s="7" t="s">
        <v>30</v>
      </c>
      <c r="R245" s="7"/>
      <c r="S245" s="23" t="s">
        <v>999</v>
      </c>
    </row>
    <row r="246" customFormat="false" ht="15" hidden="false" customHeight="false" outlineLevel="0" collapsed="false">
      <c r="A246" s="19" t="s">
        <v>1000</v>
      </c>
      <c r="B246" s="19" t="s">
        <v>28</v>
      </c>
      <c r="C246" s="19" t="s">
        <v>29</v>
      </c>
      <c r="D246" s="19" t="s">
        <v>162</v>
      </c>
      <c r="E246" s="20" t="n">
        <v>50000</v>
      </c>
      <c r="F246" s="20" t="n">
        <v>4166421000</v>
      </c>
      <c r="G246" s="21" t="n">
        <f aca="false">IFERROR(E246/F246,"")</f>
        <v>1.20007075617178E-005</v>
      </c>
      <c r="H246" s="19" t="s">
        <v>380</v>
      </c>
      <c r="I246" s="19" t="s">
        <v>371</v>
      </c>
      <c r="J246" s="19" t="s">
        <v>358</v>
      </c>
      <c r="K246" s="19" t="s">
        <v>372</v>
      </c>
      <c r="L246" s="19" t="s">
        <v>360</v>
      </c>
      <c r="M246" s="19"/>
      <c r="N246" s="19" t="s">
        <v>30</v>
      </c>
      <c r="O246" s="19"/>
      <c r="P246" s="19" t="s">
        <v>361</v>
      </c>
      <c r="Q246" s="19" t="s">
        <v>30</v>
      </c>
      <c r="R246" s="19"/>
      <c r="S246" s="22" t="s">
        <v>1001</v>
      </c>
    </row>
    <row r="247" customFormat="false" ht="15" hidden="false" customHeight="false" outlineLevel="0" collapsed="false">
      <c r="A247" s="7" t="s">
        <v>1002</v>
      </c>
      <c r="B247" s="7" t="s">
        <v>34</v>
      </c>
      <c r="C247" s="7" t="s">
        <v>29</v>
      </c>
      <c r="D247" s="7" t="s">
        <v>162</v>
      </c>
      <c r="E247" s="8" t="n">
        <v>12000</v>
      </c>
      <c r="F247" s="8" t="n">
        <v>1051000000</v>
      </c>
      <c r="G247" s="11" t="n">
        <f aca="false">IFERROR(E247/F247,"")</f>
        <v>1.14176974310181E-005</v>
      </c>
      <c r="H247" s="7" t="s">
        <v>380</v>
      </c>
      <c r="I247" s="7" t="s">
        <v>371</v>
      </c>
      <c r="J247" s="7" t="s">
        <v>358</v>
      </c>
      <c r="K247" s="7" t="s">
        <v>372</v>
      </c>
      <c r="L247" s="7" t="s">
        <v>360</v>
      </c>
      <c r="M247" s="7" t="s">
        <v>132</v>
      </c>
      <c r="N247" s="7" t="s">
        <v>133</v>
      </c>
      <c r="O247" s="7" t="s">
        <v>134</v>
      </c>
      <c r="P247" s="7" t="s">
        <v>361</v>
      </c>
      <c r="Q247" s="7" t="s">
        <v>36</v>
      </c>
      <c r="R247" s="7"/>
      <c r="S247" s="23" t="s">
        <v>1003</v>
      </c>
    </row>
    <row r="248" customFormat="false" ht="15" hidden="false" customHeight="false" outlineLevel="0" collapsed="false">
      <c r="A248" s="19" t="s">
        <v>1004</v>
      </c>
      <c r="B248" s="19" t="s">
        <v>77</v>
      </c>
      <c r="C248" s="19" t="s">
        <v>60</v>
      </c>
      <c r="D248" s="19" t="s">
        <v>291</v>
      </c>
      <c r="E248" s="20" t="n">
        <v>20000</v>
      </c>
      <c r="F248" s="20" t="n">
        <v>1861000000</v>
      </c>
      <c r="G248" s="21" t="n">
        <f aca="false">IFERROR(E248/F248,"")</f>
        <v>1.07469102632993E-005</v>
      </c>
      <c r="H248" s="19" t="s">
        <v>364</v>
      </c>
      <c r="I248" s="19" t="s">
        <v>1005</v>
      </c>
      <c r="J248" s="19" t="s">
        <v>358</v>
      </c>
      <c r="K248" s="19" t="s">
        <v>445</v>
      </c>
      <c r="L248" s="19" t="s">
        <v>558</v>
      </c>
      <c r="M248" s="19" t="s">
        <v>132</v>
      </c>
      <c r="N248" s="19" t="s">
        <v>135</v>
      </c>
      <c r="O248" s="19" t="s">
        <v>136</v>
      </c>
      <c r="P248" s="19" t="s">
        <v>361</v>
      </c>
      <c r="Q248" s="19" t="s">
        <v>54</v>
      </c>
      <c r="R248" s="19"/>
      <c r="S248" s="22" t="s">
        <v>1006</v>
      </c>
    </row>
    <row r="249" customFormat="false" ht="15" hidden="false" customHeight="false" outlineLevel="0" collapsed="false">
      <c r="A249" s="7" t="s">
        <v>1007</v>
      </c>
      <c r="B249" s="7" t="s">
        <v>151</v>
      </c>
      <c r="C249" s="7" t="s">
        <v>60</v>
      </c>
      <c r="D249" s="7" t="s">
        <v>132</v>
      </c>
      <c r="E249" s="8" t="n">
        <v>30000</v>
      </c>
      <c r="F249" s="8" t="n">
        <v>2800000000</v>
      </c>
      <c r="G249" s="11" t="n">
        <f aca="false">IFERROR(E249/F249,"")</f>
        <v>1.07142857142857E-005</v>
      </c>
      <c r="H249" s="7" t="s">
        <v>364</v>
      </c>
      <c r="I249" s="7" t="s">
        <v>1008</v>
      </c>
      <c r="J249" s="7" t="s">
        <v>358</v>
      </c>
      <c r="K249" s="7" t="s">
        <v>372</v>
      </c>
      <c r="L249" s="7" t="s">
        <v>558</v>
      </c>
      <c r="M249" s="7" t="s">
        <v>137</v>
      </c>
      <c r="N249" s="7" t="s">
        <v>133</v>
      </c>
      <c r="O249" s="7" t="s">
        <v>152</v>
      </c>
      <c r="P249" s="7" t="s">
        <v>361</v>
      </c>
      <c r="Q249" s="7" t="s">
        <v>36</v>
      </c>
      <c r="R249" s="7"/>
      <c r="S249" s="23" t="s">
        <v>1009</v>
      </c>
    </row>
    <row r="250" customFormat="false" ht="15" hidden="false" customHeight="false" outlineLevel="0" collapsed="false">
      <c r="A250" s="19" t="s">
        <v>1010</v>
      </c>
      <c r="B250" s="19" t="s">
        <v>28</v>
      </c>
      <c r="C250" s="19" t="s">
        <v>29</v>
      </c>
      <c r="D250" s="19" t="s">
        <v>162</v>
      </c>
      <c r="E250" s="20" t="n">
        <v>44000</v>
      </c>
      <c r="F250" s="20" t="n">
        <v>4166421000</v>
      </c>
      <c r="G250" s="21" t="n">
        <f aca="false">IFERROR(E250/F250,"")</f>
        <v>1.05606226543117E-005</v>
      </c>
      <c r="H250" s="19" t="s">
        <v>380</v>
      </c>
      <c r="I250" s="19" t="s">
        <v>371</v>
      </c>
      <c r="J250" s="19" t="s">
        <v>358</v>
      </c>
      <c r="K250" s="19" t="s">
        <v>372</v>
      </c>
      <c r="L250" s="19" t="s">
        <v>360</v>
      </c>
      <c r="M250" s="19"/>
      <c r="N250" s="19" t="s">
        <v>30</v>
      </c>
      <c r="O250" s="19"/>
      <c r="P250" s="19" t="s">
        <v>361</v>
      </c>
      <c r="Q250" s="19" t="s">
        <v>30</v>
      </c>
      <c r="R250" s="19"/>
      <c r="S250" s="22" t="s">
        <v>1011</v>
      </c>
    </row>
    <row r="251" customFormat="false" ht="15" hidden="false" customHeight="false" outlineLevel="0" collapsed="false">
      <c r="A251" s="7" t="s">
        <v>1012</v>
      </c>
      <c r="B251" s="7" t="s">
        <v>194</v>
      </c>
      <c r="C251" s="7" t="s">
        <v>49</v>
      </c>
      <c r="D251" s="7" t="s">
        <v>132</v>
      </c>
      <c r="E251" s="8" t="n">
        <v>1500</v>
      </c>
      <c r="F251" s="8" t="n">
        <v>142266000</v>
      </c>
      <c r="G251" s="11" t="n">
        <f aca="false">IFERROR(E251/F251,"")</f>
        <v>1.05436295390325E-005</v>
      </c>
      <c r="H251" s="7" t="s">
        <v>364</v>
      </c>
      <c r="I251" s="7" t="s">
        <v>385</v>
      </c>
      <c r="J251" s="7" t="s">
        <v>386</v>
      </c>
      <c r="K251" s="7" t="s">
        <v>387</v>
      </c>
      <c r="L251" s="7" t="s">
        <v>388</v>
      </c>
      <c r="M251" s="7" t="s">
        <v>132</v>
      </c>
      <c r="N251" s="7" t="s">
        <v>133</v>
      </c>
      <c r="O251" s="7" t="s">
        <v>195</v>
      </c>
      <c r="P251" s="7" t="s">
        <v>361</v>
      </c>
      <c r="Q251" s="7" t="s">
        <v>165</v>
      </c>
      <c r="R251" s="7"/>
      <c r="S251" s="23" t="s">
        <v>1013</v>
      </c>
    </row>
    <row r="252" customFormat="false" ht="15" hidden="false" customHeight="false" outlineLevel="0" collapsed="false">
      <c r="A252" s="19" t="s">
        <v>1014</v>
      </c>
      <c r="B252" s="19" t="s">
        <v>271</v>
      </c>
      <c r="C252" s="19" t="s">
        <v>49</v>
      </c>
      <c r="D252" s="19" t="s">
        <v>140</v>
      </c>
      <c r="E252" s="20" t="n">
        <v>10000</v>
      </c>
      <c r="F252" s="20" t="n">
        <v>980000000</v>
      </c>
      <c r="G252" s="21" t="n">
        <f aca="false">IFERROR(E252/F252,"")</f>
        <v>1.02040816326531E-005</v>
      </c>
      <c r="H252" s="19" t="s">
        <v>380</v>
      </c>
      <c r="I252" s="19" t="s">
        <v>414</v>
      </c>
      <c r="J252" s="19" t="s">
        <v>386</v>
      </c>
      <c r="K252" s="19" t="s">
        <v>400</v>
      </c>
      <c r="L252" s="19" t="s">
        <v>388</v>
      </c>
      <c r="M252" s="19"/>
      <c r="N252" s="19" t="s">
        <v>30</v>
      </c>
      <c r="O252" s="19"/>
      <c r="P252" s="19" t="s">
        <v>361</v>
      </c>
      <c r="Q252" s="19" t="s">
        <v>30</v>
      </c>
      <c r="R252" s="19"/>
      <c r="S252" s="22" t="s">
        <v>1015</v>
      </c>
    </row>
    <row r="253" customFormat="false" ht="15" hidden="false" customHeight="false" outlineLevel="0" collapsed="false">
      <c r="A253" s="7" t="s">
        <v>1016</v>
      </c>
      <c r="B253" s="7" t="s">
        <v>28</v>
      </c>
      <c r="C253" s="7" t="s">
        <v>29</v>
      </c>
      <c r="D253" s="7" t="s">
        <v>291</v>
      </c>
      <c r="E253" s="8" t="n">
        <v>42000</v>
      </c>
      <c r="F253" s="8" t="n">
        <v>4166421000</v>
      </c>
      <c r="G253" s="11" t="n">
        <f aca="false">IFERROR(E253/F253,"")</f>
        <v>1.0080594351843E-005</v>
      </c>
      <c r="H253" s="7" t="s">
        <v>380</v>
      </c>
      <c r="I253" s="7" t="s">
        <v>519</v>
      </c>
      <c r="J253" s="7" t="s">
        <v>358</v>
      </c>
      <c r="K253" s="7" t="s">
        <v>359</v>
      </c>
      <c r="L253" s="7" t="s">
        <v>360</v>
      </c>
      <c r="M253" s="7"/>
      <c r="N253" s="7" t="s">
        <v>30</v>
      </c>
      <c r="O253" s="7"/>
      <c r="P253" s="7" t="s">
        <v>361</v>
      </c>
      <c r="Q253" s="7" t="s">
        <v>30</v>
      </c>
      <c r="R253" s="7"/>
      <c r="S253" s="23" t="s">
        <v>1017</v>
      </c>
    </row>
    <row r="254" customFormat="false" ht="15" hidden="false" customHeight="false" outlineLevel="0" collapsed="false">
      <c r="A254" s="19" t="s">
        <v>1018</v>
      </c>
      <c r="B254" s="19" t="s">
        <v>28</v>
      </c>
      <c r="C254" s="19" t="s">
        <v>29</v>
      </c>
      <c r="D254" s="19" t="s">
        <v>162</v>
      </c>
      <c r="E254" s="20" t="n">
        <v>42000</v>
      </c>
      <c r="F254" s="20" t="n">
        <v>4166421000</v>
      </c>
      <c r="G254" s="21" t="n">
        <f aca="false">IFERROR(E254/F254,"")</f>
        <v>1.0080594351843E-005</v>
      </c>
      <c r="H254" s="19" t="s">
        <v>380</v>
      </c>
      <c r="I254" s="19" t="s">
        <v>494</v>
      </c>
      <c r="J254" s="19" t="s">
        <v>358</v>
      </c>
      <c r="K254" s="19" t="s">
        <v>359</v>
      </c>
      <c r="L254" s="19" t="s">
        <v>360</v>
      </c>
      <c r="M254" s="19"/>
      <c r="N254" s="19" t="s">
        <v>30</v>
      </c>
      <c r="O254" s="19"/>
      <c r="P254" s="19" t="s">
        <v>361</v>
      </c>
      <c r="Q254" s="19" t="s">
        <v>30</v>
      </c>
      <c r="R254" s="19"/>
      <c r="S254" s="22" t="s">
        <v>1019</v>
      </c>
    </row>
    <row r="255" customFormat="false" ht="15" hidden="false" customHeight="false" outlineLevel="0" collapsed="false">
      <c r="A255" s="7" t="s">
        <v>1020</v>
      </c>
      <c r="B255" s="7" t="s">
        <v>28</v>
      </c>
      <c r="C255" s="7" t="s">
        <v>29</v>
      </c>
      <c r="D255" s="7" t="s">
        <v>162</v>
      </c>
      <c r="E255" s="8" t="n">
        <v>42000</v>
      </c>
      <c r="F255" s="8" t="n">
        <v>4166421000</v>
      </c>
      <c r="G255" s="11" t="n">
        <f aca="false">IFERROR(E255/F255,"")</f>
        <v>1.0080594351843E-005</v>
      </c>
      <c r="H255" s="7" t="s">
        <v>380</v>
      </c>
      <c r="I255" s="7" t="s">
        <v>494</v>
      </c>
      <c r="J255" s="7" t="s">
        <v>358</v>
      </c>
      <c r="K255" s="7" t="s">
        <v>359</v>
      </c>
      <c r="L255" s="7" t="s">
        <v>360</v>
      </c>
      <c r="M255" s="7"/>
      <c r="N255" s="7" t="s">
        <v>30</v>
      </c>
      <c r="O255" s="7"/>
      <c r="P255" s="7" t="s">
        <v>361</v>
      </c>
      <c r="Q255" s="7" t="s">
        <v>30</v>
      </c>
      <c r="R255" s="7"/>
      <c r="S255" s="23" t="s">
        <v>1021</v>
      </c>
    </row>
    <row r="256" customFormat="false" ht="15" hidden="false" customHeight="false" outlineLevel="0" collapsed="false">
      <c r="A256" s="19" t="s">
        <v>1022</v>
      </c>
      <c r="B256" s="19" t="s">
        <v>206</v>
      </c>
      <c r="C256" s="19" t="s">
        <v>178</v>
      </c>
      <c r="D256" s="19" t="s">
        <v>140</v>
      </c>
      <c r="E256" s="20" t="n">
        <v>400000</v>
      </c>
      <c r="F256" s="20" t="n">
        <v>41400000000</v>
      </c>
      <c r="G256" s="21" t="n">
        <f aca="false">IFERROR(E256/F256,"")</f>
        <v>9.66183574879227E-006</v>
      </c>
      <c r="H256" s="19" t="s">
        <v>370</v>
      </c>
      <c r="I256" s="19" t="s">
        <v>1023</v>
      </c>
      <c r="J256" s="19" t="s">
        <v>358</v>
      </c>
      <c r="K256" s="19" t="s">
        <v>445</v>
      </c>
      <c r="L256" s="19" t="s">
        <v>429</v>
      </c>
      <c r="M256" s="19" t="s">
        <v>162</v>
      </c>
      <c r="N256" s="19" t="s">
        <v>145</v>
      </c>
      <c r="O256" s="19" t="s">
        <v>205</v>
      </c>
      <c r="P256" s="19" t="s">
        <v>361</v>
      </c>
      <c r="Q256" s="19" t="s">
        <v>165</v>
      </c>
      <c r="R256" s="19"/>
      <c r="S256" s="22" t="s">
        <v>1024</v>
      </c>
    </row>
    <row r="257" customFormat="false" ht="15" hidden="false" customHeight="false" outlineLevel="0" collapsed="false">
      <c r="A257" s="7" t="s">
        <v>1025</v>
      </c>
      <c r="B257" s="7" t="s">
        <v>28</v>
      </c>
      <c r="C257" s="7" t="s">
        <v>29</v>
      </c>
      <c r="D257" s="7" t="s">
        <v>162</v>
      </c>
      <c r="E257" s="8" t="n">
        <v>40000</v>
      </c>
      <c r="F257" s="8" t="n">
        <v>4166421000</v>
      </c>
      <c r="G257" s="11" t="n">
        <f aca="false">IFERROR(E257/F257,"")</f>
        <v>9.60056604937427E-006</v>
      </c>
      <c r="H257" s="7" t="s">
        <v>380</v>
      </c>
      <c r="I257" s="7" t="s">
        <v>494</v>
      </c>
      <c r="J257" s="7" t="s">
        <v>358</v>
      </c>
      <c r="K257" s="7" t="s">
        <v>359</v>
      </c>
      <c r="L257" s="7" t="s">
        <v>360</v>
      </c>
      <c r="M257" s="7"/>
      <c r="N257" s="7" t="s">
        <v>30</v>
      </c>
      <c r="O257" s="7"/>
      <c r="P257" s="7" t="s">
        <v>361</v>
      </c>
      <c r="Q257" s="7" t="s">
        <v>30</v>
      </c>
      <c r="R257" s="7"/>
      <c r="S257" s="23" t="s">
        <v>1026</v>
      </c>
    </row>
    <row r="258" customFormat="false" ht="15" hidden="false" customHeight="false" outlineLevel="0" collapsed="false">
      <c r="A258" s="19" t="s">
        <v>1027</v>
      </c>
      <c r="B258" s="19" t="s">
        <v>28</v>
      </c>
      <c r="C258" s="19" t="s">
        <v>29</v>
      </c>
      <c r="D258" s="19" t="s">
        <v>140</v>
      </c>
      <c r="E258" s="20" t="n">
        <v>40000</v>
      </c>
      <c r="F258" s="20" t="n">
        <v>4166421000</v>
      </c>
      <c r="G258" s="21" t="n">
        <f aca="false">IFERROR(E258/F258,"")</f>
        <v>9.60056604937427E-006</v>
      </c>
      <c r="H258" s="19" t="s">
        <v>380</v>
      </c>
      <c r="I258" s="19" t="s">
        <v>519</v>
      </c>
      <c r="J258" s="19" t="s">
        <v>358</v>
      </c>
      <c r="K258" s="19" t="s">
        <v>359</v>
      </c>
      <c r="L258" s="19" t="s">
        <v>360</v>
      </c>
      <c r="M258" s="19"/>
      <c r="N258" s="19" t="s">
        <v>30</v>
      </c>
      <c r="O258" s="19"/>
      <c r="P258" s="19" t="s">
        <v>361</v>
      </c>
      <c r="Q258" s="19" t="s">
        <v>30</v>
      </c>
      <c r="R258" s="19"/>
      <c r="S258" s="22" t="s">
        <v>1028</v>
      </c>
    </row>
    <row r="259" customFormat="false" ht="15" hidden="false" customHeight="false" outlineLevel="0" collapsed="false">
      <c r="A259" s="7" t="s">
        <v>1029</v>
      </c>
      <c r="B259" s="7" t="s">
        <v>28</v>
      </c>
      <c r="C259" s="7" t="s">
        <v>29</v>
      </c>
      <c r="D259" s="7" t="s">
        <v>140</v>
      </c>
      <c r="E259" s="8" t="n">
        <v>40000</v>
      </c>
      <c r="F259" s="8" t="n">
        <v>4166421000</v>
      </c>
      <c r="G259" s="11" t="n">
        <f aca="false">IFERROR(E259/F259,"")</f>
        <v>9.60056604937427E-006</v>
      </c>
      <c r="H259" s="7" t="s">
        <v>380</v>
      </c>
      <c r="I259" s="7" t="s">
        <v>468</v>
      </c>
      <c r="J259" s="7" t="s">
        <v>358</v>
      </c>
      <c r="K259" s="7" t="s">
        <v>372</v>
      </c>
      <c r="L259" s="7" t="s">
        <v>360</v>
      </c>
      <c r="M259" s="7"/>
      <c r="N259" s="7" t="s">
        <v>30</v>
      </c>
      <c r="O259" s="7"/>
      <c r="P259" s="7" t="s">
        <v>361</v>
      </c>
      <c r="Q259" s="7" t="s">
        <v>30</v>
      </c>
      <c r="R259" s="7"/>
      <c r="S259" s="23" t="s">
        <v>1030</v>
      </c>
    </row>
    <row r="260" customFormat="false" ht="15" hidden="false" customHeight="false" outlineLevel="0" collapsed="false">
      <c r="A260" s="19" t="s">
        <v>1031</v>
      </c>
      <c r="B260" s="19" t="s">
        <v>28</v>
      </c>
      <c r="C260" s="19" t="s">
        <v>29</v>
      </c>
      <c r="D260" s="19" t="s">
        <v>140</v>
      </c>
      <c r="E260" s="20" t="n">
        <v>40000</v>
      </c>
      <c r="F260" s="20" t="n">
        <v>4166421000</v>
      </c>
      <c r="G260" s="21" t="n">
        <f aca="false">IFERROR(E260/F260,"")</f>
        <v>9.60056604937427E-006</v>
      </c>
      <c r="H260" s="19" t="s">
        <v>380</v>
      </c>
      <c r="I260" s="19" t="s">
        <v>519</v>
      </c>
      <c r="J260" s="19" t="s">
        <v>358</v>
      </c>
      <c r="K260" s="19" t="s">
        <v>359</v>
      </c>
      <c r="L260" s="19" t="s">
        <v>360</v>
      </c>
      <c r="M260" s="19"/>
      <c r="N260" s="19" t="s">
        <v>30</v>
      </c>
      <c r="O260" s="19"/>
      <c r="P260" s="19" t="s">
        <v>361</v>
      </c>
      <c r="Q260" s="19" t="s">
        <v>30</v>
      </c>
      <c r="R260" s="19"/>
      <c r="S260" s="22" t="s">
        <v>1032</v>
      </c>
    </row>
    <row r="261" customFormat="false" ht="15" hidden="false" customHeight="false" outlineLevel="0" collapsed="false">
      <c r="A261" s="7" t="s">
        <v>1033</v>
      </c>
      <c r="B261" s="7" t="s">
        <v>28</v>
      </c>
      <c r="C261" s="7" t="s">
        <v>29</v>
      </c>
      <c r="D261" s="7" t="s">
        <v>140</v>
      </c>
      <c r="E261" s="8" t="n">
        <v>40000</v>
      </c>
      <c r="F261" s="8" t="n">
        <v>4166421000</v>
      </c>
      <c r="G261" s="11" t="n">
        <f aca="false">IFERROR(E261/F261,"")</f>
        <v>9.60056604937427E-006</v>
      </c>
      <c r="H261" s="7" t="s">
        <v>380</v>
      </c>
      <c r="I261" s="7" t="s">
        <v>519</v>
      </c>
      <c r="J261" s="7" t="s">
        <v>358</v>
      </c>
      <c r="K261" s="7" t="s">
        <v>359</v>
      </c>
      <c r="L261" s="7" t="s">
        <v>360</v>
      </c>
      <c r="M261" s="7"/>
      <c r="N261" s="7" t="s">
        <v>30</v>
      </c>
      <c r="O261" s="7"/>
      <c r="P261" s="7" t="s">
        <v>361</v>
      </c>
      <c r="Q261" s="7" t="s">
        <v>30</v>
      </c>
      <c r="R261" s="7"/>
      <c r="S261" s="23" t="s">
        <v>1034</v>
      </c>
    </row>
    <row r="262" customFormat="false" ht="15" hidden="false" customHeight="false" outlineLevel="0" collapsed="false">
      <c r="A262" s="19" t="s">
        <v>1035</v>
      </c>
      <c r="B262" s="19" t="s">
        <v>28</v>
      </c>
      <c r="C262" s="19" t="s">
        <v>29</v>
      </c>
      <c r="D262" s="19" t="s">
        <v>140</v>
      </c>
      <c r="E262" s="20" t="n">
        <v>40000</v>
      </c>
      <c r="F262" s="20" t="n">
        <v>4166421000</v>
      </c>
      <c r="G262" s="21" t="n">
        <f aca="false">IFERROR(E262/F262,"")</f>
        <v>9.60056604937427E-006</v>
      </c>
      <c r="H262" s="19" t="s">
        <v>380</v>
      </c>
      <c r="I262" s="19" t="s">
        <v>519</v>
      </c>
      <c r="J262" s="19" t="s">
        <v>358</v>
      </c>
      <c r="K262" s="19" t="s">
        <v>359</v>
      </c>
      <c r="L262" s="19" t="s">
        <v>360</v>
      </c>
      <c r="M262" s="19"/>
      <c r="N262" s="19" t="s">
        <v>30</v>
      </c>
      <c r="O262" s="19"/>
      <c r="P262" s="19" t="s">
        <v>361</v>
      </c>
      <c r="Q262" s="19" t="s">
        <v>30</v>
      </c>
      <c r="R262" s="19"/>
      <c r="S262" s="22" t="s">
        <v>1036</v>
      </c>
    </row>
    <row r="263" customFormat="false" ht="15" hidden="false" customHeight="false" outlineLevel="0" collapsed="false">
      <c r="A263" s="7" t="s">
        <v>1037</v>
      </c>
      <c r="B263" s="7" t="s">
        <v>28</v>
      </c>
      <c r="C263" s="7" t="s">
        <v>762</v>
      </c>
      <c r="D263" s="7" t="s">
        <v>223</v>
      </c>
      <c r="E263" s="8" t="n">
        <v>40000</v>
      </c>
      <c r="F263" s="8" t="n">
        <v>4166421000</v>
      </c>
      <c r="G263" s="11" t="n">
        <f aca="false">IFERROR(E263/F263,"")</f>
        <v>9.60056604937427E-006</v>
      </c>
      <c r="H263" s="7" t="s">
        <v>380</v>
      </c>
      <c r="I263" s="7" t="s">
        <v>519</v>
      </c>
      <c r="J263" s="7" t="s">
        <v>358</v>
      </c>
      <c r="K263" s="7" t="s">
        <v>359</v>
      </c>
      <c r="L263" s="7"/>
      <c r="M263" s="7"/>
      <c r="N263" s="7" t="s">
        <v>30</v>
      </c>
      <c r="O263" s="7"/>
      <c r="P263" s="7" t="s">
        <v>542</v>
      </c>
      <c r="Q263" s="7" t="s">
        <v>30</v>
      </c>
      <c r="R263" s="7"/>
      <c r="S263" s="23" t="s">
        <v>1038</v>
      </c>
    </row>
    <row r="264" customFormat="false" ht="15" hidden="false" customHeight="false" outlineLevel="0" collapsed="false">
      <c r="A264" s="19" t="s">
        <v>1039</v>
      </c>
      <c r="B264" s="19" t="s">
        <v>843</v>
      </c>
      <c r="C264" s="19" t="s">
        <v>60</v>
      </c>
      <c r="D264" s="19" t="s">
        <v>132</v>
      </c>
      <c r="E264" s="20" t="n">
        <v>10000</v>
      </c>
      <c r="F264" s="20" t="n">
        <v>1051000000</v>
      </c>
      <c r="G264" s="21" t="n">
        <f aca="false">IFERROR(E264/F264,"")</f>
        <v>9.51474785918173E-006</v>
      </c>
      <c r="H264" s="19" t="s">
        <v>380</v>
      </c>
      <c r="I264" s="19" t="s">
        <v>1040</v>
      </c>
      <c r="J264" s="19" t="s">
        <v>358</v>
      </c>
      <c r="K264" s="19" t="s">
        <v>372</v>
      </c>
      <c r="L264" s="19" t="s">
        <v>558</v>
      </c>
      <c r="M264" s="19" t="s">
        <v>132</v>
      </c>
      <c r="N264" s="19" t="s">
        <v>133</v>
      </c>
      <c r="O264" s="19" t="s">
        <v>134</v>
      </c>
      <c r="P264" s="19" t="s">
        <v>361</v>
      </c>
      <c r="Q264" s="19" t="s">
        <v>36</v>
      </c>
      <c r="R264" s="19"/>
      <c r="S264" s="22" t="s">
        <v>1041</v>
      </c>
    </row>
    <row r="265" customFormat="false" ht="15" hidden="false" customHeight="false" outlineLevel="0" collapsed="false">
      <c r="A265" s="7" t="s">
        <v>1042</v>
      </c>
      <c r="B265" s="7" t="s">
        <v>202</v>
      </c>
      <c r="C265" s="7" t="s">
        <v>57</v>
      </c>
      <c r="D265" s="7" t="s">
        <v>409</v>
      </c>
      <c r="E265" s="8" t="n">
        <v>563052</v>
      </c>
      <c r="F265" s="8" t="n">
        <v>64900000000</v>
      </c>
      <c r="G265" s="11" t="n">
        <f aca="false">IFERROR(E265/F265,"")</f>
        <v>8.67568567026194E-006</v>
      </c>
      <c r="H265" s="7" t="s">
        <v>356</v>
      </c>
      <c r="I265" s="7" t="s">
        <v>1043</v>
      </c>
      <c r="J265" s="7" t="s">
        <v>358</v>
      </c>
      <c r="K265" s="7" t="s">
        <v>359</v>
      </c>
      <c r="L265" s="7" t="s">
        <v>377</v>
      </c>
      <c r="M265" s="7"/>
      <c r="N265" s="7" t="s">
        <v>30</v>
      </c>
      <c r="O265" s="7"/>
      <c r="P265" s="7" t="s">
        <v>611</v>
      </c>
      <c r="Q265" s="7" t="s">
        <v>30</v>
      </c>
      <c r="R265" s="7"/>
      <c r="S265" s="23" t="s">
        <v>1044</v>
      </c>
    </row>
    <row r="266" customFormat="false" ht="15" hidden="false" customHeight="false" outlineLevel="0" collapsed="false">
      <c r="A266" s="19" t="s">
        <v>1045</v>
      </c>
      <c r="B266" s="19" t="s">
        <v>28</v>
      </c>
      <c r="C266" s="19" t="s">
        <v>29</v>
      </c>
      <c r="D266" s="19" t="s">
        <v>223</v>
      </c>
      <c r="E266" s="20" t="n">
        <v>36000</v>
      </c>
      <c r="F266" s="20" t="n">
        <v>4166421000</v>
      </c>
      <c r="G266" s="21" t="n">
        <f aca="false">IFERROR(E266/F266,"")</f>
        <v>8.64050944443684E-006</v>
      </c>
      <c r="H266" s="19" t="s">
        <v>380</v>
      </c>
      <c r="I266" s="19" t="s">
        <v>494</v>
      </c>
      <c r="J266" s="19" t="s">
        <v>358</v>
      </c>
      <c r="K266" s="19" t="s">
        <v>359</v>
      </c>
      <c r="L266" s="19" t="s">
        <v>360</v>
      </c>
      <c r="M266" s="19"/>
      <c r="N266" s="19" t="s">
        <v>30</v>
      </c>
      <c r="O266" s="19"/>
      <c r="P266" s="19" t="s">
        <v>361</v>
      </c>
      <c r="Q266" s="19" t="s">
        <v>30</v>
      </c>
      <c r="R266" s="19"/>
      <c r="S266" s="22" t="s">
        <v>1046</v>
      </c>
    </row>
    <row r="267" customFormat="false" ht="15" hidden="false" customHeight="false" outlineLevel="0" collapsed="false">
      <c r="A267" s="7" t="s">
        <v>1047</v>
      </c>
      <c r="B267" s="7" t="s">
        <v>28</v>
      </c>
      <c r="C267" s="7" t="s">
        <v>29</v>
      </c>
      <c r="D267" s="7" t="s">
        <v>162</v>
      </c>
      <c r="E267" s="8" t="n">
        <v>36000</v>
      </c>
      <c r="F267" s="8" t="n">
        <v>4166421000</v>
      </c>
      <c r="G267" s="11" t="n">
        <f aca="false">IFERROR(E267/F267,"")</f>
        <v>8.64050944443684E-006</v>
      </c>
      <c r="H267" s="7" t="s">
        <v>380</v>
      </c>
      <c r="I267" s="7" t="s">
        <v>494</v>
      </c>
      <c r="J267" s="7" t="s">
        <v>358</v>
      </c>
      <c r="K267" s="7" t="s">
        <v>359</v>
      </c>
      <c r="L267" s="7" t="s">
        <v>360</v>
      </c>
      <c r="M267" s="7"/>
      <c r="N267" s="7" t="s">
        <v>30</v>
      </c>
      <c r="O267" s="7"/>
      <c r="P267" s="7" t="s">
        <v>361</v>
      </c>
      <c r="Q267" s="7" t="s">
        <v>30</v>
      </c>
      <c r="R267" s="7"/>
      <c r="S267" s="23" t="s">
        <v>1048</v>
      </c>
    </row>
    <row r="268" customFormat="false" ht="15" hidden="false" customHeight="false" outlineLevel="0" collapsed="false">
      <c r="A268" s="19" t="s">
        <v>1049</v>
      </c>
      <c r="B268" s="19" t="s">
        <v>28</v>
      </c>
      <c r="C268" s="19" t="s">
        <v>29</v>
      </c>
      <c r="D268" s="19" t="s">
        <v>162</v>
      </c>
      <c r="E268" s="20" t="n">
        <v>36000</v>
      </c>
      <c r="F268" s="20" t="n">
        <v>4166421000</v>
      </c>
      <c r="G268" s="21" t="n">
        <f aca="false">IFERROR(E268/F268,"")</f>
        <v>8.64050944443684E-006</v>
      </c>
      <c r="H268" s="19" t="s">
        <v>380</v>
      </c>
      <c r="I268" s="19" t="s">
        <v>494</v>
      </c>
      <c r="J268" s="19" t="s">
        <v>358</v>
      </c>
      <c r="K268" s="19" t="s">
        <v>359</v>
      </c>
      <c r="L268" s="19" t="s">
        <v>360</v>
      </c>
      <c r="M268" s="19"/>
      <c r="N268" s="19" t="s">
        <v>30</v>
      </c>
      <c r="O268" s="19"/>
      <c r="P268" s="19" t="s">
        <v>361</v>
      </c>
      <c r="Q268" s="19" t="s">
        <v>30</v>
      </c>
      <c r="R268" s="19"/>
      <c r="S268" s="22" t="s">
        <v>1050</v>
      </c>
    </row>
    <row r="269" customFormat="false" ht="15" hidden="false" customHeight="false" outlineLevel="0" collapsed="false">
      <c r="A269" s="7" t="s">
        <v>1051</v>
      </c>
      <c r="B269" s="7" t="s">
        <v>28</v>
      </c>
      <c r="C269" s="7" t="s">
        <v>29</v>
      </c>
      <c r="D269" s="7" t="s">
        <v>162</v>
      </c>
      <c r="E269" s="8" t="n">
        <v>42000</v>
      </c>
      <c r="F269" s="8" t="n">
        <v>4978000000</v>
      </c>
      <c r="G269" s="11" t="n">
        <f aca="false">IFERROR(E269/F269,"")</f>
        <v>8.43712334270792E-006</v>
      </c>
      <c r="H269" s="7" t="s">
        <v>380</v>
      </c>
      <c r="I269" s="7" t="s">
        <v>468</v>
      </c>
      <c r="J269" s="7" t="s">
        <v>358</v>
      </c>
      <c r="K269" s="7" t="s">
        <v>400</v>
      </c>
      <c r="L269" s="7" t="s">
        <v>360</v>
      </c>
      <c r="M269" s="7"/>
      <c r="N269" s="7" t="s">
        <v>30</v>
      </c>
      <c r="O269" s="7"/>
      <c r="P269" s="7" t="s">
        <v>361</v>
      </c>
      <c r="Q269" s="7" t="s">
        <v>30</v>
      </c>
      <c r="R269" s="7"/>
      <c r="S269" s="23" t="s">
        <v>1052</v>
      </c>
    </row>
    <row r="270" customFormat="false" ht="15" hidden="false" customHeight="false" outlineLevel="0" collapsed="false">
      <c r="A270" s="19" t="s">
        <v>1053</v>
      </c>
      <c r="B270" s="19" t="s">
        <v>28</v>
      </c>
      <c r="C270" s="19" t="s">
        <v>29</v>
      </c>
      <c r="D270" s="19" t="s">
        <v>162</v>
      </c>
      <c r="E270" s="20" t="n">
        <v>42000</v>
      </c>
      <c r="F270" s="20" t="n">
        <v>4978000000</v>
      </c>
      <c r="G270" s="21" t="n">
        <f aca="false">IFERROR(E270/F270,"")</f>
        <v>8.43712334270792E-006</v>
      </c>
      <c r="H270" s="19" t="s">
        <v>380</v>
      </c>
      <c r="I270" s="19" t="s">
        <v>468</v>
      </c>
      <c r="J270" s="19" t="s">
        <v>358</v>
      </c>
      <c r="K270" s="19" t="s">
        <v>400</v>
      </c>
      <c r="L270" s="19" t="s">
        <v>360</v>
      </c>
      <c r="M270" s="19"/>
      <c r="N270" s="19" t="s">
        <v>30</v>
      </c>
      <c r="O270" s="19"/>
      <c r="P270" s="19" t="s">
        <v>361</v>
      </c>
      <c r="Q270" s="19" t="s">
        <v>30</v>
      </c>
      <c r="R270" s="19"/>
      <c r="S270" s="22" t="s">
        <v>1054</v>
      </c>
    </row>
    <row r="271" customFormat="false" ht="15" hidden="false" customHeight="false" outlineLevel="0" collapsed="false">
      <c r="A271" s="7" t="s">
        <v>1055</v>
      </c>
      <c r="B271" s="7" t="s">
        <v>237</v>
      </c>
      <c r="C271" s="7" t="s">
        <v>238</v>
      </c>
      <c r="D271" s="7" t="s">
        <v>162</v>
      </c>
      <c r="E271" s="8" t="n">
        <v>50000</v>
      </c>
      <c r="F271" s="8" t="n">
        <v>6042000000</v>
      </c>
      <c r="G271" s="11" t="n">
        <f aca="false">IFERROR(E271/F271,"")</f>
        <v>8.27540549486925E-006</v>
      </c>
      <c r="H271" s="7" t="s">
        <v>380</v>
      </c>
      <c r="I271" s="7" t="s">
        <v>1056</v>
      </c>
      <c r="J271" s="7" t="s">
        <v>386</v>
      </c>
      <c r="K271" s="7" t="s">
        <v>473</v>
      </c>
      <c r="L271" s="7" t="s">
        <v>456</v>
      </c>
      <c r="M271" s="7" t="s">
        <v>132</v>
      </c>
      <c r="N271" s="7" t="s">
        <v>133</v>
      </c>
      <c r="O271" s="7" t="s">
        <v>239</v>
      </c>
      <c r="P271" s="7" t="s">
        <v>361</v>
      </c>
      <c r="Q271" s="7" t="s">
        <v>165</v>
      </c>
      <c r="R271" s="7"/>
      <c r="S271" s="23" t="s">
        <v>1057</v>
      </c>
    </row>
    <row r="272" customFormat="false" ht="15" hidden="false" customHeight="false" outlineLevel="0" collapsed="false">
      <c r="A272" s="19" t="s">
        <v>1058</v>
      </c>
      <c r="B272" s="19" t="s">
        <v>254</v>
      </c>
      <c r="C272" s="19" t="s">
        <v>29</v>
      </c>
      <c r="D272" s="19" t="s">
        <v>132</v>
      </c>
      <c r="E272" s="20" t="n">
        <v>25000</v>
      </c>
      <c r="F272" s="20" t="n">
        <v>3090000000</v>
      </c>
      <c r="G272" s="21" t="n">
        <f aca="false">IFERROR(E272/F272,"")</f>
        <v>8.09061488673139E-006</v>
      </c>
      <c r="H272" s="19" t="s">
        <v>370</v>
      </c>
      <c r="I272" s="19" t="s">
        <v>385</v>
      </c>
      <c r="J272" s="19" t="s">
        <v>386</v>
      </c>
      <c r="K272" s="19" t="s">
        <v>387</v>
      </c>
      <c r="L272" s="19" t="s">
        <v>360</v>
      </c>
      <c r="M272" s="19" t="s">
        <v>132</v>
      </c>
      <c r="N272" s="19" t="s">
        <v>141</v>
      </c>
      <c r="O272" s="19" t="s">
        <v>255</v>
      </c>
      <c r="P272" s="19" t="s">
        <v>361</v>
      </c>
      <c r="Q272" s="19" t="s">
        <v>36</v>
      </c>
      <c r="R272" s="19"/>
      <c r="S272" s="22" t="s">
        <v>1059</v>
      </c>
    </row>
    <row r="273" customFormat="false" ht="15" hidden="false" customHeight="false" outlineLevel="0" collapsed="false">
      <c r="A273" s="7" t="s">
        <v>1060</v>
      </c>
      <c r="B273" s="7" t="s">
        <v>259</v>
      </c>
      <c r="C273" s="7" t="s">
        <v>60</v>
      </c>
      <c r="D273" s="7" t="s">
        <v>291</v>
      </c>
      <c r="E273" s="8" t="n">
        <v>20000</v>
      </c>
      <c r="F273" s="8" t="n">
        <v>2717000000</v>
      </c>
      <c r="G273" s="11" t="n">
        <f aca="false">IFERROR(E273/F273,"")</f>
        <v>7.36105999263894E-006</v>
      </c>
      <c r="H273" s="7" t="s">
        <v>364</v>
      </c>
      <c r="I273" s="7" t="s">
        <v>1005</v>
      </c>
      <c r="J273" s="7" t="s">
        <v>358</v>
      </c>
      <c r="K273" s="7" t="s">
        <v>445</v>
      </c>
      <c r="L273" s="7" t="s">
        <v>558</v>
      </c>
      <c r="M273" s="7" t="s">
        <v>132</v>
      </c>
      <c r="N273" s="7" t="s">
        <v>141</v>
      </c>
      <c r="O273" s="7" t="s">
        <v>260</v>
      </c>
      <c r="P273" s="7" t="s">
        <v>361</v>
      </c>
      <c r="Q273" s="7" t="s">
        <v>36</v>
      </c>
      <c r="R273" s="7"/>
      <c r="S273" s="23" t="s">
        <v>1061</v>
      </c>
    </row>
    <row r="274" customFormat="false" ht="15" hidden="false" customHeight="false" outlineLevel="0" collapsed="false">
      <c r="A274" s="19" t="s">
        <v>1062</v>
      </c>
      <c r="B274" s="19" t="s">
        <v>28</v>
      </c>
      <c r="C274" s="19" t="s">
        <v>29</v>
      </c>
      <c r="D274" s="19" t="s">
        <v>162</v>
      </c>
      <c r="E274" s="20" t="n">
        <v>30000</v>
      </c>
      <c r="F274" s="20" t="n">
        <v>4166421000</v>
      </c>
      <c r="G274" s="21" t="n">
        <f aca="false">IFERROR(E274/F274,"")</f>
        <v>7.2004245370307E-006</v>
      </c>
      <c r="H274" s="19" t="s">
        <v>380</v>
      </c>
      <c r="I274" s="19" t="s">
        <v>494</v>
      </c>
      <c r="J274" s="19" t="s">
        <v>358</v>
      </c>
      <c r="K274" s="19" t="s">
        <v>359</v>
      </c>
      <c r="L274" s="19" t="s">
        <v>360</v>
      </c>
      <c r="M274" s="19"/>
      <c r="N274" s="19" t="s">
        <v>30</v>
      </c>
      <c r="O274" s="19"/>
      <c r="P274" s="19" t="s">
        <v>361</v>
      </c>
      <c r="Q274" s="19" t="s">
        <v>30</v>
      </c>
      <c r="R274" s="19"/>
      <c r="S274" s="22" t="s">
        <v>1063</v>
      </c>
    </row>
    <row r="275" customFormat="false" ht="15" hidden="false" customHeight="false" outlineLevel="0" collapsed="false">
      <c r="A275" s="7" t="s">
        <v>1064</v>
      </c>
      <c r="B275" s="7" t="s">
        <v>183</v>
      </c>
      <c r="C275" s="7" t="s">
        <v>60</v>
      </c>
      <c r="D275" s="7" t="s">
        <v>291</v>
      </c>
      <c r="E275" s="8" t="n">
        <v>20000</v>
      </c>
      <c r="F275" s="8" t="n">
        <v>2800000000</v>
      </c>
      <c r="G275" s="11" t="n">
        <f aca="false">IFERROR(E275/F275,"")</f>
        <v>7.14285714285714E-006</v>
      </c>
      <c r="H275" s="7" t="s">
        <v>364</v>
      </c>
      <c r="I275" s="7" t="s">
        <v>1005</v>
      </c>
      <c r="J275" s="7" t="s">
        <v>358</v>
      </c>
      <c r="K275" s="7" t="s">
        <v>445</v>
      </c>
      <c r="L275" s="7" t="s">
        <v>558</v>
      </c>
      <c r="M275" s="7" t="s">
        <v>137</v>
      </c>
      <c r="N275" s="7" t="s">
        <v>133</v>
      </c>
      <c r="O275" s="7" t="s">
        <v>152</v>
      </c>
      <c r="P275" s="7" t="s">
        <v>361</v>
      </c>
      <c r="Q275" s="7" t="s">
        <v>36</v>
      </c>
      <c r="R275" s="7"/>
      <c r="S275" s="23" t="s">
        <v>1065</v>
      </c>
    </row>
    <row r="276" customFormat="false" ht="15" hidden="false" customHeight="false" outlineLevel="0" collapsed="false">
      <c r="A276" s="19" t="s">
        <v>1066</v>
      </c>
      <c r="B276" s="19" t="s">
        <v>46</v>
      </c>
      <c r="C276" s="19" t="s">
        <v>29</v>
      </c>
      <c r="D276" s="19" t="s">
        <v>137</v>
      </c>
      <c r="E276" s="20" t="n">
        <v>70000</v>
      </c>
      <c r="F276" s="20" t="n">
        <v>10000000000</v>
      </c>
      <c r="G276" s="21" t="n">
        <f aca="false">IFERROR(E276/F276,"")</f>
        <v>7E-006</v>
      </c>
      <c r="H276" s="19" t="s">
        <v>364</v>
      </c>
      <c r="I276" s="19" t="s">
        <v>468</v>
      </c>
      <c r="J276" s="19" t="s">
        <v>358</v>
      </c>
      <c r="K276" s="19" t="s">
        <v>372</v>
      </c>
      <c r="L276" s="19" t="s">
        <v>360</v>
      </c>
      <c r="M276" s="19"/>
      <c r="N276" s="19" t="s">
        <v>30</v>
      </c>
      <c r="O276" s="19"/>
      <c r="P276" s="19" t="s">
        <v>361</v>
      </c>
      <c r="Q276" s="19" t="s">
        <v>30</v>
      </c>
      <c r="R276" s="19"/>
      <c r="S276" s="22" t="s">
        <v>1067</v>
      </c>
    </row>
    <row r="277" customFormat="false" ht="15" hidden="false" customHeight="false" outlineLevel="0" collapsed="false">
      <c r="A277" s="7" t="s">
        <v>1068</v>
      </c>
      <c r="B277" s="7" t="s">
        <v>189</v>
      </c>
      <c r="C277" s="7" t="s">
        <v>49</v>
      </c>
      <c r="D277" s="7" t="s">
        <v>162</v>
      </c>
      <c r="E277" s="8" t="n">
        <v>5000</v>
      </c>
      <c r="F277" s="8" t="n">
        <v>720780000</v>
      </c>
      <c r="G277" s="11" t="n">
        <f aca="false">IFERROR(E277/F277,"")</f>
        <v>6.93692943755376E-006</v>
      </c>
      <c r="H277" s="7" t="s">
        <v>364</v>
      </c>
      <c r="I277" s="7" t="s">
        <v>414</v>
      </c>
      <c r="J277" s="7" t="s">
        <v>386</v>
      </c>
      <c r="K277" s="7" t="s">
        <v>400</v>
      </c>
      <c r="L277" s="7" t="s">
        <v>388</v>
      </c>
      <c r="M277" s="7"/>
      <c r="N277" s="7" t="s">
        <v>30</v>
      </c>
      <c r="O277" s="7"/>
      <c r="P277" s="7" t="s">
        <v>361</v>
      </c>
      <c r="Q277" s="7" t="s">
        <v>30</v>
      </c>
      <c r="R277" s="7"/>
      <c r="S277" s="23" t="s">
        <v>1069</v>
      </c>
    </row>
    <row r="278" customFormat="false" ht="15" hidden="false" customHeight="false" outlineLevel="0" collapsed="false">
      <c r="A278" s="19" t="s">
        <v>1070</v>
      </c>
      <c r="B278" s="19" t="s">
        <v>28</v>
      </c>
      <c r="C278" s="19" t="s">
        <v>762</v>
      </c>
      <c r="D278" s="19"/>
      <c r="E278" s="20" t="n">
        <v>27000</v>
      </c>
      <c r="F278" s="20" t="n">
        <v>4166421000</v>
      </c>
      <c r="G278" s="21" t="n">
        <f aca="false">IFERROR(E278/F278,"")</f>
        <v>6.48038208332763E-006</v>
      </c>
      <c r="H278" s="19" t="s">
        <v>380</v>
      </c>
      <c r="I278" s="19" t="s">
        <v>371</v>
      </c>
      <c r="J278" s="19" t="s">
        <v>358</v>
      </c>
      <c r="K278" s="19" t="s">
        <v>366</v>
      </c>
      <c r="L278" s="19"/>
      <c r="M278" s="19"/>
      <c r="N278" s="19" t="s">
        <v>30</v>
      </c>
      <c r="O278" s="19"/>
      <c r="P278" s="19" t="s">
        <v>542</v>
      </c>
      <c r="Q278" s="19" t="s">
        <v>30</v>
      </c>
      <c r="R278" s="19"/>
      <c r="S278" s="19"/>
    </row>
    <row r="279" customFormat="false" ht="15" hidden="false" customHeight="false" outlineLevel="0" collapsed="false">
      <c r="A279" s="7" t="s">
        <v>1071</v>
      </c>
      <c r="B279" s="7" t="s">
        <v>214</v>
      </c>
      <c r="C279" s="7" t="s">
        <v>29</v>
      </c>
      <c r="D279" s="7" t="s">
        <v>291</v>
      </c>
      <c r="E279" s="8" t="n">
        <v>170000</v>
      </c>
      <c r="F279" s="8" t="n">
        <v>27000000000</v>
      </c>
      <c r="G279" s="11" t="n">
        <f aca="false">IFERROR(E279/F279,"")</f>
        <v>6.2962962962963E-006</v>
      </c>
      <c r="H279" s="7" t="s">
        <v>370</v>
      </c>
      <c r="I279" s="7" t="s">
        <v>1072</v>
      </c>
      <c r="J279" s="7" t="s">
        <v>358</v>
      </c>
      <c r="K279" s="7" t="s">
        <v>359</v>
      </c>
      <c r="L279" s="7" t="s">
        <v>360</v>
      </c>
      <c r="M279" s="7"/>
      <c r="N279" s="7" t="s">
        <v>30</v>
      </c>
      <c r="O279" s="7"/>
      <c r="P279" s="7" t="s">
        <v>361</v>
      </c>
      <c r="Q279" s="7" t="s">
        <v>30</v>
      </c>
      <c r="R279" s="7"/>
      <c r="S279" s="23" t="s">
        <v>1073</v>
      </c>
    </row>
    <row r="280" customFormat="false" ht="15" hidden="false" customHeight="false" outlineLevel="0" collapsed="false">
      <c r="A280" s="19" t="s">
        <v>1074</v>
      </c>
      <c r="B280" s="19" t="s">
        <v>171</v>
      </c>
      <c r="C280" s="19" t="s">
        <v>57</v>
      </c>
      <c r="D280" s="19" t="s">
        <v>140</v>
      </c>
      <c r="E280" s="20" t="n">
        <v>150000</v>
      </c>
      <c r="F280" s="20" t="n">
        <v>23830000000</v>
      </c>
      <c r="G280" s="21" t="n">
        <f aca="false">IFERROR(E280/F280,"")</f>
        <v>6.29458665547629E-006</v>
      </c>
      <c r="H280" s="19" t="s">
        <v>380</v>
      </c>
      <c r="I280" s="19" t="s">
        <v>1075</v>
      </c>
      <c r="J280" s="19" t="s">
        <v>358</v>
      </c>
      <c r="K280" s="19" t="s">
        <v>366</v>
      </c>
      <c r="L280" s="19" t="s">
        <v>377</v>
      </c>
      <c r="M280" s="19"/>
      <c r="N280" s="19" t="s">
        <v>30</v>
      </c>
      <c r="O280" s="19"/>
      <c r="P280" s="19" t="s">
        <v>361</v>
      </c>
      <c r="Q280" s="19" t="s">
        <v>30</v>
      </c>
      <c r="R280" s="19"/>
      <c r="S280" s="22" t="s">
        <v>1076</v>
      </c>
    </row>
    <row r="281" customFormat="false" ht="15" hidden="false" customHeight="false" outlineLevel="0" collapsed="false">
      <c r="A281" s="7" t="s">
        <v>1077</v>
      </c>
      <c r="B281" s="7" t="s">
        <v>154</v>
      </c>
      <c r="C281" s="7" t="s">
        <v>49</v>
      </c>
      <c r="D281" s="7" t="s">
        <v>140</v>
      </c>
      <c r="E281" s="8" t="n">
        <v>6000</v>
      </c>
      <c r="F281" s="8" t="n">
        <v>980000000</v>
      </c>
      <c r="G281" s="11" t="n">
        <f aca="false">IFERROR(E281/F281,"")</f>
        <v>6.12244897959184E-006</v>
      </c>
      <c r="H281" s="7" t="s">
        <v>380</v>
      </c>
      <c r="I281" s="7" t="s">
        <v>1078</v>
      </c>
      <c r="J281" s="7" t="s">
        <v>358</v>
      </c>
      <c r="K281" s="7" t="s">
        <v>372</v>
      </c>
      <c r="L281" s="7" t="s">
        <v>388</v>
      </c>
      <c r="M281" s="7"/>
      <c r="N281" s="7" t="s">
        <v>30</v>
      </c>
      <c r="O281" s="7"/>
      <c r="P281" s="7" t="s">
        <v>361</v>
      </c>
      <c r="Q281" s="7" t="s">
        <v>30</v>
      </c>
      <c r="R281" s="7"/>
      <c r="S281" s="23" t="s">
        <v>1079</v>
      </c>
    </row>
    <row r="282" customFormat="false" ht="15" hidden="false" customHeight="false" outlineLevel="0" collapsed="false">
      <c r="A282" s="19" t="s">
        <v>1080</v>
      </c>
      <c r="B282" s="19" t="s">
        <v>28</v>
      </c>
      <c r="C282" s="19" t="s">
        <v>762</v>
      </c>
      <c r="D282" s="19" t="s">
        <v>223</v>
      </c>
      <c r="E282" s="20" t="n">
        <v>30000</v>
      </c>
      <c r="F282" s="20" t="n">
        <v>4973000000</v>
      </c>
      <c r="G282" s="21" t="n">
        <f aca="false">IFERROR(E282/F282,"")</f>
        <v>6.03257590991353E-006</v>
      </c>
      <c r="H282" s="19" t="s">
        <v>380</v>
      </c>
      <c r="I282" s="19" t="s">
        <v>468</v>
      </c>
      <c r="J282" s="19" t="s">
        <v>358</v>
      </c>
      <c r="K282" s="19" t="s">
        <v>400</v>
      </c>
      <c r="L282" s="19"/>
      <c r="M282" s="19"/>
      <c r="N282" s="19" t="s">
        <v>30</v>
      </c>
      <c r="O282" s="19"/>
      <c r="P282" s="19" t="s">
        <v>452</v>
      </c>
      <c r="Q282" s="19" t="s">
        <v>30</v>
      </c>
      <c r="R282" s="19"/>
      <c r="S282" s="22" t="s">
        <v>1081</v>
      </c>
    </row>
    <row r="283" customFormat="false" ht="15" hidden="false" customHeight="false" outlineLevel="0" collapsed="false">
      <c r="A283" s="7" t="s">
        <v>1082</v>
      </c>
      <c r="B283" s="7" t="s">
        <v>41</v>
      </c>
      <c r="C283" s="7" t="s">
        <v>29</v>
      </c>
      <c r="D283" s="7" t="s">
        <v>137</v>
      </c>
      <c r="E283" s="8" t="n">
        <v>120000</v>
      </c>
      <c r="F283" s="8" t="n">
        <v>20000000000</v>
      </c>
      <c r="G283" s="11" t="n">
        <f aca="false">IFERROR(E283/F283,"")</f>
        <v>6E-006</v>
      </c>
      <c r="H283" s="7" t="s">
        <v>364</v>
      </c>
      <c r="I283" s="7" t="s">
        <v>371</v>
      </c>
      <c r="J283" s="7" t="s">
        <v>358</v>
      </c>
      <c r="K283" s="7" t="s">
        <v>372</v>
      </c>
      <c r="L283" s="7" t="s">
        <v>360</v>
      </c>
      <c r="M283" s="7"/>
      <c r="N283" s="7" t="s">
        <v>30</v>
      </c>
      <c r="O283" s="7"/>
      <c r="P283" s="7" t="s">
        <v>361</v>
      </c>
      <c r="Q283" s="7" t="s">
        <v>30</v>
      </c>
      <c r="R283" s="7"/>
      <c r="S283" s="23" t="s">
        <v>1083</v>
      </c>
    </row>
    <row r="284" customFormat="false" ht="15" hidden="false" customHeight="false" outlineLevel="0" collapsed="false">
      <c r="A284" s="19" t="s">
        <v>1084</v>
      </c>
      <c r="B284" s="19" t="s">
        <v>41</v>
      </c>
      <c r="C284" s="19" t="s">
        <v>29</v>
      </c>
      <c r="D284" s="19" t="s">
        <v>140</v>
      </c>
      <c r="E284" s="20" t="n">
        <v>120000</v>
      </c>
      <c r="F284" s="20" t="n">
        <v>20000000000</v>
      </c>
      <c r="G284" s="21" t="n">
        <f aca="false">IFERROR(E284/F284,"")</f>
        <v>6E-006</v>
      </c>
      <c r="H284" s="19" t="s">
        <v>364</v>
      </c>
      <c r="I284" s="19" t="s">
        <v>414</v>
      </c>
      <c r="J284" s="19" t="s">
        <v>386</v>
      </c>
      <c r="K284" s="19" t="s">
        <v>400</v>
      </c>
      <c r="L284" s="19" t="s">
        <v>360</v>
      </c>
      <c r="M284" s="19"/>
      <c r="N284" s="19" t="s">
        <v>30</v>
      </c>
      <c r="O284" s="19"/>
      <c r="P284" s="19" t="s">
        <v>361</v>
      </c>
      <c r="Q284" s="19" t="s">
        <v>30</v>
      </c>
      <c r="R284" s="19"/>
      <c r="S284" s="22" t="s">
        <v>1085</v>
      </c>
    </row>
    <row r="285" customFormat="false" ht="15" hidden="false" customHeight="false" outlineLevel="0" collapsed="false">
      <c r="A285" s="7" t="s">
        <v>1086</v>
      </c>
      <c r="B285" s="7" t="s">
        <v>28</v>
      </c>
      <c r="C285" s="7" t="s">
        <v>29</v>
      </c>
      <c r="D285" s="7" t="s">
        <v>162</v>
      </c>
      <c r="E285" s="8" t="n">
        <v>24000</v>
      </c>
      <c r="F285" s="8" t="n">
        <v>4166421000</v>
      </c>
      <c r="G285" s="11" t="n">
        <f aca="false">IFERROR(E285/F285,"")</f>
        <v>5.76033962962456E-006</v>
      </c>
      <c r="H285" s="7" t="s">
        <v>380</v>
      </c>
      <c r="I285" s="7" t="s">
        <v>494</v>
      </c>
      <c r="J285" s="7" t="s">
        <v>358</v>
      </c>
      <c r="K285" s="7" t="s">
        <v>359</v>
      </c>
      <c r="L285" s="7" t="s">
        <v>360</v>
      </c>
      <c r="M285" s="7"/>
      <c r="N285" s="7" t="s">
        <v>30</v>
      </c>
      <c r="O285" s="7"/>
      <c r="P285" s="7" t="s">
        <v>361</v>
      </c>
      <c r="Q285" s="7" t="s">
        <v>30</v>
      </c>
      <c r="R285" s="7"/>
      <c r="S285" s="23" t="s">
        <v>1087</v>
      </c>
    </row>
    <row r="286" customFormat="false" ht="15" hidden="false" customHeight="false" outlineLevel="0" collapsed="false">
      <c r="A286" s="19" t="s">
        <v>1088</v>
      </c>
      <c r="B286" s="19" t="s">
        <v>1089</v>
      </c>
      <c r="C286" s="19" t="s">
        <v>97</v>
      </c>
      <c r="D286" s="19" t="s">
        <v>137</v>
      </c>
      <c r="E286" s="20" t="n">
        <v>326000</v>
      </c>
      <c r="F286" s="20" t="n">
        <v>57647000000</v>
      </c>
      <c r="G286" s="21" t="n">
        <f aca="false">IFERROR(E286/F286,"")</f>
        <v>5.6551078113345E-006</v>
      </c>
      <c r="H286" s="19" t="s">
        <v>364</v>
      </c>
      <c r="I286" s="19" t="s">
        <v>572</v>
      </c>
      <c r="J286" s="19" t="s">
        <v>386</v>
      </c>
      <c r="K286" s="19" t="s">
        <v>405</v>
      </c>
      <c r="L286" s="19" t="s">
        <v>422</v>
      </c>
      <c r="M286" s="19" t="s">
        <v>132</v>
      </c>
      <c r="N286" s="19" t="s">
        <v>141</v>
      </c>
      <c r="O286" s="19" t="s">
        <v>160</v>
      </c>
      <c r="P286" s="19" t="s">
        <v>361</v>
      </c>
      <c r="Q286" s="19" t="s">
        <v>36</v>
      </c>
      <c r="R286" s="19"/>
      <c r="S286" s="22" t="s">
        <v>1090</v>
      </c>
    </row>
    <row r="287" customFormat="false" ht="15" hidden="false" customHeight="false" outlineLevel="0" collapsed="false">
      <c r="A287" s="7" t="s">
        <v>1091</v>
      </c>
      <c r="B287" s="7" t="s">
        <v>188</v>
      </c>
      <c r="C287" s="7" t="s">
        <v>49</v>
      </c>
      <c r="D287" s="7" t="s">
        <v>301</v>
      </c>
      <c r="E287" s="8" t="n">
        <v>5000</v>
      </c>
      <c r="F287" s="8" t="n">
        <v>908600000</v>
      </c>
      <c r="G287" s="11" t="n">
        <f aca="false">IFERROR(E287/F287,"")</f>
        <v>5.50297160466652E-006</v>
      </c>
      <c r="H287" s="7" t="s">
        <v>364</v>
      </c>
      <c r="I287" s="7" t="s">
        <v>494</v>
      </c>
      <c r="J287" s="7" t="s">
        <v>358</v>
      </c>
      <c r="K287" s="7" t="s">
        <v>359</v>
      </c>
      <c r="L287" s="7" t="s">
        <v>388</v>
      </c>
      <c r="M287" s="7"/>
      <c r="N287" s="7" t="s">
        <v>30</v>
      </c>
      <c r="O287" s="7"/>
      <c r="P287" s="7" t="s">
        <v>361</v>
      </c>
      <c r="Q287" s="7" t="s">
        <v>30</v>
      </c>
      <c r="R287" s="7"/>
      <c r="S287" s="23" t="s">
        <v>1092</v>
      </c>
    </row>
    <row r="288" customFormat="false" ht="15" hidden="false" customHeight="false" outlineLevel="0" collapsed="false">
      <c r="A288" s="19" t="s">
        <v>1093</v>
      </c>
      <c r="B288" s="19" t="s">
        <v>188</v>
      </c>
      <c r="C288" s="19" t="s">
        <v>49</v>
      </c>
      <c r="D288" s="19" t="s">
        <v>409</v>
      </c>
      <c r="E288" s="20" t="n">
        <v>5000</v>
      </c>
      <c r="F288" s="20" t="n">
        <v>908600000</v>
      </c>
      <c r="G288" s="21" t="n">
        <f aca="false">IFERROR(E288/F288,"")</f>
        <v>5.50297160466652E-006</v>
      </c>
      <c r="H288" s="19" t="s">
        <v>364</v>
      </c>
      <c r="I288" s="19" t="s">
        <v>414</v>
      </c>
      <c r="J288" s="19" t="s">
        <v>386</v>
      </c>
      <c r="K288" s="19" t="s">
        <v>400</v>
      </c>
      <c r="L288" s="19" t="s">
        <v>388</v>
      </c>
      <c r="M288" s="19"/>
      <c r="N288" s="19" t="s">
        <v>30</v>
      </c>
      <c r="O288" s="19"/>
      <c r="P288" s="19" t="s">
        <v>361</v>
      </c>
      <c r="Q288" s="19" t="s">
        <v>30</v>
      </c>
      <c r="R288" s="19"/>
      <c r="S288" s="22" t="s">
        <v>1094</v>
      </c>
    </row>
    <row r="289" customFormat="false" ht="15" hidden="false" customHeight="false" outlineLevel="0" collapsed="false">
      <c r="A289" s="7" t="s">
        <v>1095</v>
      </c>
      <c r="B289" s="7" t="s">
        <v>79</v>
      </c>
      <c r="C289" s="7" t="s">
        <v>60</v>
      </c>
      <c r="D289" s="7" t="s">
        <v>132</v>
      </c>
      <c r="E289" s="8" t="n">
        <v>10000</v>
      </c>
      <c r="F289" s="8" t="n">
        <v>1861000000</v>
      </c>
      <c r="G289" s="11" t="n">
        <f aca="false">IFERROR(E289/F289,"")</f>
        <v>5.37345513164965E-006</v>
      </c>
      <c r="H289" s="7" t="s">
        <v>364</v>
      </c>
      <c r="I289" s="7" t="s">
        <v>365</v>
      </c>
      <c r="J289" s="7" t="s">
        <v>358</v>
      </c>
      <c r="K289" s="7" t="s">
        <v>366</v>
      </c>
      <c r="L289" s="7" t="s">
        <v>558</v>
      </c>
      <c r="M289" s="7" t="s">
        <v>132</v>
      </c>
      <c r="N289" s="7" t="s">
        <v>135</v>
      </c>
      <c r="O289" s="7" t="s">
        <v>136</v>
      </c>
      <c r="P289" s="7" t="s">
        <v>361</v>
      </c>
      <c r="Q289" s="7" t="s">
        <v>54</v>
      </c>
      <c r="R289" s="7"/>
      <c r="S289" s="23" t="s">
        <v>1096</v>
      </c>
    </row>
    <row r="290" customFormat="false" ht="15" hidden="false" customHeight="false" outlineLevel="0" collapsed="false">
      <c r="A290" s="19" t="s">
        <v>1097</v>
      </c>
      <c r="B290" s="19" t="s">
        <v>28</v>
      </c>
      <c r="C290" s="19" t="s">
        <v>762</v>
      </c>
      <c r="D290" s="19" t="s">
        <v>223</v>
      </c>
      <c r="E290" s="20" t="n">
        <v>21000</v>
      </c>
      <c r="F290" s="20" t="n">
        <v>4166421000</v>
      </c>
      <c r="G290" s="21" t="n">
        <f aca="false">IFERROR(E290/F290,"")</f>
        <v>5.04029717592149E-006</v>
      </c>
      <c r="H290" s="19" t="s">
        <v>380</v>
      </c>
      <c r="I290" s="19" t="s">
        <v>519</v>
      </c>
      <c r="J290" s="19" t="s">
        <v>358</v>
      </c>
      <c r="K290" s="19" t="s">
        <v>359</v>
      </c>
      <c r="L290" s="19"/>
      <c r="M290" s="19"/>
      <c r="N290" s="19" t="s">
        <v>30</v>
      </c>
      <c r="O290" s="19"/>
      <c r="P290" s="19" t="s">
        <v>542</v>
      </c>
      <c r="Q290" s="19" t="s">
        <v>30</v>
      </c>
      <c r="R290" s="19"/>
      <c r="S290" s="22" t="s">
        <v>1098</v>
      </c>
    </row>
    <row r="291" customFormat="false" ht="15" hidden="false" customHeight="false" outlineLevel="0" collapsed="false">
      <c r="A291" s="7" t="s">
        <v>1099</v>
      </c>
      <c r="B291" s="7" t="s">
        <v>46</v>
      </c>
      <c r="C291" s="7" t="s">
        <v>29</v>
      </c>
      <c r="D291" s="7" t="s">
        <v>140</v>
      </c>
      <c r="E291" s="8" t="n">
        <v>50000</v>
      </c>
      <c r="F291" s="8" t="n">
        <v>10000000000</v>
      </c>
      <c r="G291" s="11" t="n">
        <f aca="false">IFERROR(E291/F291,"")</f>
        <v>5E-006</v>
      </c>
      <c r="H291" s="7" t="s">
        <v>364</v>
      </c>
      <c r="I291" s="7" t="s">
        <v>519</v>
      </c>
      <c r="J291" s="7" t="s">
        <v>358</v>
      </c>
      <c r="K291" s="7" t="s">
        <v>359</v>
      </c>
      <c r="L291" s="7" t="s">
        <v>360</v>
      </c>
      <c r="M291" s="7"/>
      <c r="N291" s="7" t="s">
        <v>30</v>
      </c>
      <c r="O291" s="7"/>
      <c r="P291" s="7" t="s">
        <v>361</v>
      </c>
      <c r="Q291" s="7" t="s">
        <v>30</v>
      </c>
      <c r="R291" s="7"/>
      <c r="S291" s="23" t="s">
        <v>1100</v>
      </c>
    </row>
    <row r="292" customFormat="false" ht="15" hidden="false" customHeight="false" outlineLevel="0" collapsed="false">
      <c r="A292" s="19" t="s">
        <v>1101</v>
      </c>
      <c r="B292" s="19" t="s">
        <v>208</v>
      </c>
      <c r="C292" s="19" t="s">
        <v>29</v>
      </c>
      <c r="D292" s="19" t="s">
        <v>301</v>
      </c>
      <c r="E292" s="20" t="n">
        <v>200000</v>
      </c>
      <c r="F292" s="20" t="n">
        <v>40652000000</v>
      </c>
      <c r="G292" s="21" t="n">
        <f aca="false">IFERROR(E292/F292,"")</f>
        <v>4.91980714355997E-006</v>
      </c>
      <c r="H292" s="19" t="s">
        <v>380</v>
      </c>
      <c r="I292" s="19" t="s">
        <v>519</v>
      </c>
      <c r="J292" s="19" t="s">
        <v>358</v>
      </c>
      <c r="K292" s="19" t="s">
        <v>359</v>
      </c>
      <c r="L292" s="19" t="s">
        <v>360</v>
      </c>
      <c r="M292" s="19" t="s">
        <v>132</v>
      </c>
      <c r="N292" s="19" t="s">
        <v>133</v>
      </c>
      <c r="O292" s="19"/>
      <c r="P292" s="19" t="s">
        <v>361</v>
      </c>
      <c r="Q292" s="19" t="s">
        <v>165</v>
      </c>
      <c r="R292" s="19"/>
      <c r="S292" s="22" t="s">
        <v>1102</v>
      </c>
    </row>
    <row r="293" customFormat="false" ht="15" hidden="false" customHeight="false" outlineLevel="0" collapsed="false">
      <c r="A293" s="7" t="s">
        <v>1103</v>
      </c>
      <c r="B293" s="7" t="s">
        <v>48</v>
      </c>
      <c r="C293" s="7" t="s">
        <v>49</v>
      </c>
      <c r="D293" s="7" t="s">
        <v>137</v>
      </c>
      <c r="E293" s="8" t="n">
        <v>5000</v>
      </c>
      <c r="F293" s="8" t="n">
        <v>1051000000</v>
      </c>
      <c r="G293" s="11" t="n">
        <f aca="false">IFERROR(E293/F293,"")</f>
        <v>4.75737392959087E-006</v>
      </c>
      <c r="H293" s="7" t="s">
        <v>380</v>
      </c>
      <c r="I293" s="7" t="s">
        <v>414</v>
      </c>
      <c r="J293" s="7" t="s">
        <v>386</v>
      </c>
      <c r="K293" s="7" t="s">
        <v>400</v>
      </c>
      <c r="L293" s="7" t="s">
        <v>388</v>
      </c>
      <c r="M293" s="7" t="s">
        <v>132</v>
      </c>
      <c r="N293" s="7" t="s">
        <v>133</v>
      </c>
      <c r="O293" s="7" t="s">
        <v>134</v>
      </c>
      <c r="P293" s="7" t="s">
        <v>361</v>
      </c>
      <c r="Q293" s="7" t="s">
        <v>36</v>
      </c>
      <c r="R293" s="7"/>
      <c r="S293" s="23" t="s">
        <v>1104</v>
      </c>
    </row>
    <row r="294" customFormat="false" ht="15" hidden="false" customHeight="false" outlineLevel="0" collapsed="false">
      <c r="A294" s="19" t="s">
        <v>1105</v>
      </c>
      <c r="B294" s="19" t="s">
        <v>41</v>
      </c>
      <c r="C294" s="19" t="s">
        <v>29</v>
      </c>
      <c r="D294" s="19" t="s">
        <v>301</v>
      </c>
      <c r="E294" s="20" t="n">
        <v>120000</v>
      </c>
      <c r="F294" s="20" t="n">
        <v>26240000000</v>
      </c>
      <c r="G294" s="21" t="n">
        <f aca="false">IFERROR(E294/F294,"")</f>
        <v>4.57317073170732E-006</v>
      </c>
      <c r="H294" s="19" t="s">
        <v>364</v>
      </c>
      <c r="I294" s="19" t="s">
        <v>519</v>
      </c>
      <c r="J294" s="19" t="s">
        <v>358</v>
      </c>
      <c r="K294" s="19" t="s">
        <v>359</v>
      </c>
      <c r="L294" s="19" t="s">
        <v>360</v>
      </c>
      <c r="M294" s="19"/>
      <c r="N294" s="19" t="s">
        <v>30</v>
      </c>
      <c r="O294" s="19"/>
      <c r="P294" s="19" t="s">
        <v>361</v>
      </c>
      <c r="Q294" s="19" t="s">
        <v>30</v>
      </c>
      <c r="R294" s="19"/>
      <c r="S294" s="22" t="s">
        <v>1106</v>
      </c>
    </row>
    <row r="295" customFormat="false" ht="15" hidden="false" customHeight="false" outlineLevel="0" collapsed="false">
      <c r="A295" s="7" t="s">
        <v>1107</v>
      </c>
      <c r="B295" s="7" t="s">
        <v>198</v>
      </c>
      <c r="C295" s="7" t="s">
        <v>178</v>
      </c>
      <c r="D295" s="7" t="s">
        <v>291</v>
      </c>
      <c r="E295" s="8" t="n">
        <v>600000</v>
      </c>
      <c r="F295" s="8" t="n">
        <v>139715000000</v>
      </c>
      <c r="G295" s="11" t="n">
        <f aca="false">IFERROR(E295/F295,"")</f>
        <v>4.29445657230791E-006</v>
      </c>
      <c r="H295" s="7" t="s">
        <v>356</v>
      </c>
      <c r="I295" s="7" t="s">
        <v>1108</v>
      </c>
      <c r="J295" s="7" t="s">
        <v>358</v>
      </c>
      <c r="K295" s="7" t="s">
        <v>366</v>
      </c>
      <c r="L295" s="7" t="s">
        <v>429</v>
      </c>
      <c r="M295" s="7" t="s">
        <v>132</v>
      </c>
      <c r="N295" s="7" t="s">
        <v>133</v>
      </c>
      <c r="O295" s="7" t="s">
        <v>199</v>
      </c>
      <c r="P295" s="7" t="s">
        <v>361</v>
      </c>
      <c r="Q295" s="7" t="s">
        <v>165</v>
      </c>
      <c r="R295" s="7"/>
      <c r="S295" s="23" t="s">
        <v>1109</v>
      </c>
    </row>
    <row r="296" customFormat="false" ht="15" hidden="false" customHeight="false" outlineLevel="0" collapsed="false">
      <c r="A296" s="19" t="s">
        <v>1110</v>
      </c>
      <c r="B296" s="19" t="s">
        <v>155</v>
      </c>
      <c r="C296" s="19" t="s">
        <v>49</v>
      </c>
      <c r="D296" s="19" t="s">
        <v>162</v>
      </c>
      <c r="E296" s="20" t="n">
        <v>4000</v>
      </c>
      <c r="F296" s="20" t="n">
        <v>932000000</v>
      </c>
      <c r="G296" s="21" t="n">
        <f aca="false">IFERROR(E296/F296,"")</f>
        <v>4.29184549356223E-006</v>
      </c>
      <c r="H296" s="19" t="s">
        <v>380</v>
      </c>
      <c r="I296" s="19" t="s">
        <v>1111</v>
      </c>
      <c r="J296" s="19" t="s">
        <v>358</v>
      </c>
      <c r="K296" s="19" t="s">
        <v>366</v>
      </c>
      <c r="L296" s="19" t="s">
        <v>388</v>
      </c>
      <c r="M296" s="19"/>
      <c r="N296" s="19" t="s">
        <v>30</v>
      </c>
      <c r="O296" s="19"/>
      <c r="P296" s="19" t="s">
        <v>361</v>
      </c>
      <c r="Q296" s="19" t="s">
        <v>30</v>
      </c>
      <c r="R296" s="19"/>
      <c r="S296" s="22" t="s">
        <v>1112</v>
      </c>
    </row>
    <row r="297" customFormat="false" ht="15" hidden="false" customHeight="false" outlineLevel="0" collapsed="false">
      <c r="A297" s="7" t="s">
        <v>1113</v>
      </c>
      <c r="B297" s="7" t="s">
        <v>41</v>
      </c>
      <c r="C297" s="7" t="s">
        <v>29</v>
      </c>
      <c r="D297" s="7" t="s">
        <v>132</v>
      </c>
      <c r="E297" s="8" t="n">
        <v>84000</v>
      </c>
      <c r="F297" s="8" t="n">
        <v>20000000000</v>
      </c>
      <c r="G297" s="11" t="n">
        <f aca="false">IFERROR(E297/F297,"")</f>
        <v>4.2E-006</v>
      </c>
      <c r="H297" s="7" t="s">
        <v>364</v>
      </c>
      <c r="I297" s="7" t="s">
        <v>1114</v>
      </c>
      <c r="J297" s="7" t="s">
        <v>358</v>
      </c>
      <c r="K297" s="7" t="s">
        <v>359</v>
      </c>
      <c r="L297" s="7" t="s">
        <v>360</v>
      </c>
      <c r="M297" s="7"/>
      <c r="N297" s="7" t="s">
        <v>30</v>
      </c>
      <c r="O297" s="7"/>
      <c r="P297" s="7" t="s">
        <v>361</v>
      </c>
      <c r="Q297" s="7" t="s">
        <v>30</v>
      </c>
      <c r="R297" s="7"/>
      <c r="S297" s="23" t="s">
        <v>1115</v>
      </c>
    </row>
    <row r="298" customFormat="false" ht="15" hidden="false" customHeight="false" outlineLevel="0" collapsed="false">
      <c r="A298" s="19" t="s">
        <v>1116</v>
      </c>
      <c r="B298" s="19" t="s">
        <v>240</v>
      </c>
      <c r="C298" s="19" t="s">
        <v>97</v>
      </c>
      <c r="D298" s="19" t="s">
        <v>132</v>
      </c>
      <c r="E298" s="20" t="n">
        <v>24000</v>
      </c>
      <c r="F298" s="20" t="n">
        <v>5916000000</v>
      </c>
      <c r="G298" s="21" t="n">
        <f aca="false">IFERROR(E298/F298,"")</f>
        <v>4.05679513184584E-006</v>
      </c>
      <c r="H298" s="19" t="s">
        <v>364</v>
      </c>
      <c r="I298" s="19" t="s">
        <v>687</v>
      </c>
      <c r="J298" s="19" t="s">
        <v>386</v>
      </c>
      <c r="K298" s="19" t="s">
        <v>405</v>
      </c>
      <c r="L298" s="19" t="s">
        <v>422</v>
      </c>
      <c r="M298" s="19" t="s">
        <v>132</v>
      </c>
      <c r="N298" s="19" t="s">
        <v>135</v>
      </c>
      <c r="O298" s="19" t="s">
        <v>241</v>
      </c>
      <c r="P298" s="19" t="s">
        <v>361</v>
      </c>
      <c r="Q298" s="19" t="s">
        <v>54</v>
      </c>
      <c r="R298" s="19"/>
      <c r="S298" s="22" t="s">
        <v>1117</v>
      </c>
    </row>
    <row r="299" customFormat="false" ht="15" hidden="false" customHeight="false" outlineLevel="0" collapsed="false">
      <c r="A299" s="7" t="s">
        <v>1118</v>
      </c>
      <c r="B299" s="7" t="s">
        <v>274</v>
      </c>
      <c r="C299" s="7" t="s">
        <v>49</v>
      </c>
      <c r="D299" s="7" t="s">
        <v>162</v>
      </c>
      <c r="E299" s="8" t="n">
        <v>3000</v>
      </c>
      <c r="F299" s="8" t="n">
        <v>754219600</v>
      </c>
      <c r="G299" s="11" t="n">
        <f aca="false">IFERROR(E299/F299,"")</f>
        <v>3.97762137181267E-006</v>
      </c>
      <c r="H299" s="7" t="s">
        <v>380</v>
      </c>
      <c r="I299" s="7" t="s">
        <v>468</v>
      </c>
      <c r="J299" s="7" t="s">
        <v>358</v>
      </c>
      <c r="K299" s="7" t="s">
        <v>400</v>
      </c>
      <c r="L299" s="7" t="s">
        <v>388</v>
      </c>
      <c r="M299" s="7"/>
      <c r="N299" s="7" t="s">
        <v>30</v>
      </c>
      <c r="O299" s="7"/>
      <c r="P299" s="7" t="s">
        <v>361</v>
      </c>
      <c r="Q299" s="7" t="s">
        <v>30</v>
      </c>
      <c r="R299" s="7"/>
      <c r="S299" s="23" t="s">
        <v>1119</v>
      </c>
    </row>
    <row r="300" customFormat="false" ht="15" hidden="false" customHeight="false" outlineLevel="0" collapsed="false">
      <c r="A300" s="19" t="s">
        <v>1120</v>
      </c>
      <c r="B300" s="19" t="s">
        <v>174</v>
      </c>
      <c r="C300" s="19" t="s">
        <v>57</v>
      </c>
      <c r="D300" s="19" t="s">
        <v>291</v>
      </c>
      <c r="E300" s="20" t="n">
        <v>70000</v>
      </c>
      <c r="F300" s="20" t="n">
        <v>18000000000</v>
      </c>
      <c r="G300" s="21" t="n">
        <f aca="false">IFERROR(E300/F300,"")</f>
        <v>3.88888888888889E-006</v>
      </c>
      <c r="H300" s="19" t="s">
        <v>480</v>
      </c>
      <c r="I300" s="19" t="s">
        <v>365</v>
      </c>
      <c r="J300" s="19" t="s">
        <v>358</v>
      </c>
      <c r="K300" s="19" t="s">
        <v>366</v>
      </c>
      <c r="L300" s="19" t="s">
        <v>377</v>
      </c>
      <c r="M300" s="19"/>
      <c r="N300" s="19" t="s">
        <v>30</v>
      </c>
      <c r="O300" s="19"/>
      <c r="P300" s="19" t="s">
        <v>361</v>
      </c>
      <c r="Q300" s="19" t="s">
        <v>30</v>
      </c>
      <c r="R300" s="19"/>
      <c r="S300" s="22" t="s">
        <v>1121</v>
      </c>
    </row>
    <row r="301" customFormat="false" ht="15" hidden="false" customHeight="false" outlineLevel="0" collapsed="false">
      <c r="A301" s="7" t="s">
        <v>1122</v>
      </c>
      <c r="B301" s="7" t="s">
        <v>170</v>
      </c>
      <c r="C301" s="7" t="s">
        <v>57</v>
      </c>
      <c r="D301" s="7" t="s">
        <v>301</v>
      </c>
      <c r="E301" s="8" t="n">
        <v>100000</v>
      </c>
      <c r="F301" s="8" t="n">
        <v>26240000000</v>
      </c>
      <c r="G301" s="11" t="n">
        <f aca="false">IFERROR(E301/F301,"")</f>
        <v>3.8109756097561E-006</v>
      </c>
      <c r="H301" s="7" t="s">
        <v>364</v>
      </c>
      <c r="I301" s="7" t="s">
        <v>365</v>
      </c>
      <c r="J301" s="7" t="s">
        <v>358</v>
      </c>
      <c r="K301" s="7" t="s">
        <v>366</v>
      </c>
      <c r="L301" s="7" t="s">
        <v>377</v>
      </c>
      <c r="M301" s="7"/>
      <c r="N301" s="7" t="s">
        <v>30</v>
      </c>
      <c r="O301" s="7"/>
      <c r="P301" s="7" t="s">
        <v>361</v>
      </c>
      <c r="Q301" s="7" t="s">
        <v>30</v>
      </c>
      <c r="R301" s="7"/>
      <c r="S301" s="23" t="s">
        <v>1123</v>
      </c>
    </row>
    <row r="302" customFormat="false" ht="15" hidden="false" customHeight="false" outlineLevel="0" collapsed="false">
      <c r="A302" s="19" t="s">
        <v>1124</v>
      </c>
      <c r="B302" s="19" t="s">
        <v>48</v>
      </c>
      <c r="C302" s="19" t="s">
        <v>49</v>
      </c>
      <c r="D302" s="19" t="s">
        <v>301</v>
      </c>
      <c r="E302" s="20" t="n">
        <v>4000</v>
      </c>
      <c r="F302" s="20" t="n">
        <v>1051000000</v>
      </c>
      <c r="G302" s="21" t="n">
        <f aca="false">IFERROR(E302/F302,"")</f>
        <v>3.80589914367269E-006</v>
      </c>
      <c r="H302" s="19" t="s">
        <v>380</v>
      </c>
      <c r="I302" s="19" t="s">
        <v>1125</v>
      </c>
      <c r="J302" s="19" t="s">
        <v>386</v>
      </c>
      <c r="K302" s="19" t="s">
        <v>400</v>
      </c>
      <c r="L302" s="19" t="s">
        <v>388</v>
      </c>
      <c r="M302" s="19" t="s">
        <v>132</v>
      </c>
      <c r="N302" s="19" t="s">
        <v>133</v>
      </c>
      <c r="O302" s="19" t="s">
        <v>134</v>
      </c>
      <c r="P302" s="19" t="s">
        <v>361</v>
      </c>
      <c r="Q302" s="19" t="s">
        <v>36</v>
      </c>
      <c r="R302" s="19"/>
      <c r="S302" s="22" t="s">
        <v>1126</v>
      </c>
    </row>
    <row r="303" customFormat="false" ht="15" hidden="false" customHeight="false" outlineLevel="0" collapsed="false">
      <c r="A303" s="7" t="s">
        <v>1127</v>
      </c>
      <c r="B303" s="7" t="s">
        <v>151</v>
      </c>
      <c r="C303" s="7" t="s">
        <v>60</v>
      </c>
      <c r="D303" s="7" t="s">
        <v>291</v>
      </c>
      <c r="E303" s="8" t="n">
        <v>10000</v>
      </c>
      <c r="F303" s="8" t="n">
        <v>2800000000</v>
      </c>
      <c r="G303" s="11" t="n">
        <f aca="false">IFERROR(E303/F303,"")</f>
        <v>3.57142857142857E-006</v>
      </c>
      <c r="H303" s="7" t="s">
        <v>364</v>
      </c>
      <c r="I303" s="7" t="s">
        <v>1008</v>
      </c>
      <c r="J303" s="7" t="s">
        <v>358</v>
      </c>
      <c r="K303" s="7" t="s">
        <v>372</v>
      </c>
      <c r="L303" s="7" t="s">
        <v>558</v>
      </c>
      <c r="M303" s="7" t="s">
        <v>137</v>
      </c>
      <c r="N303" s="7" t="s">
        <v>133</v>
      </c>
      <c r="O303" s="7" t="s">
        <v>152</v>
      </c>
      <c r="P303" s="7" t="s">
        <v>361</v>
      </c>
      <c r="Q303" s="7" t="s">
        <v>36</v>
      </c>
      <c r="R303" s="7"/>
      <c r="S303" s="23" t="s">
        <v>1128</v>
      </c>
    </row>
    <row r="304" customFormat="false" ht="15" hidden="false" customHeight="false" outlineLevel="0" collapsed="false">
      <c r="A304" s="19" t="s">
        <v>1129</v>
      </c>
      <c r="B304" s="19" t="s">
        <v>41</v>
      </c>
      <c r="C304" s="19" t="s">
        <v>29</v>
      </c>
      <c r="D304" s="19" t="s">
        <v>291</v>
      </c>
      <c r="E304" s="20" t="n">
        <v>70000</v>
      </c>
      <c r="F304" s="20" t="n">
        <v>20000000000</v>
      </c>
      <c r="G304" s="21" t="n">
        <f aca="false">IFERROR(E304/F304,"")</f>
        <v>3.5E-006</v>
      </c>
      <c r="H304" s="19" t="s">
        <v>364</v>
      </c>
      <c r="I304" s="19" t="s">
        <v>468</v>
      </c>
      <c r="J304" s="19" t="s">
        <v>358</v>
      </c>
      <c r="K304" s="19" t="s">
        <v>372</v>
      </c>
      <c r="L304" s="19" t="s">
        <v>360</v>
      </c>
      <c r="M304" s="19"/>
      <c r="N304" s="19" t="s">
        <v>30</v>
      </c>
      <c r="O304" s="19"/>
      <c r="P304" s="19" t="s">
        <v>361</v>
      </c>
      <c r="Q304" s="19" t="s">
        <v>30</v>
      </c>
      <c r="R304" s="19"/>
      <c r="S304" s="22" t="s">
        <v>1130</v>
      </c>
    </row>
    <row r="305" customFormat="false" ht="15" hidden="false" customHeight="false" outlineLevel="0" collapsed="false">
      <c r="A305" s="7" t="s">
        <v>1131</v>
      </c>
      <c r="B305" s="7" t="s">
        <v>32</v>
      </c>
      <c r="C305" s="7" t="s">
        <v>29</v>
      </c>
      <c r="D305" s="7" t="s">
        <v>162</v>
      </c>
      <c r="E305" s="8" t="n">
        <v>5000</v>
      </c>
      <c r="F305" s="8" t="n">
        <v>1451400000</v>
      </c>
      <c r="G305" s="11" t="n">
        <f aca="false">IFERROR(E305/F305,"")</f>
        <v>3.44494970373433E-006</v>
      </c>
      <c r="H305" s="7" t="s">
        <v>380</v>
      </c>
      <c r="I305" s="7" t="s">
        <v>385</v>
      </c>
      <c r="J305" s="7" t="s">
        <v>386</v>
      </c>
      <c r="K305" s="7" t="s">
        <v>387</v>
      </c>
      <c r="L305" s="7" t="s">
        <v>360</v>
      </c>
      <c r="M305" s="7"/>
      <c r="N305" s="7" t="s">
        <v>30</v>
      </c>
      <c r="O305" s="7"/>
      <c r="P305" s="7" t="s">
        <v>361</v>
      </c>
      <c r="Q305" s="7" t="s">
        <v>30</v>
      </c>
      <c r="R305" s="7"/>
      <c r="S305" s="23" t="s">
        <v>1132</v>
      </c>
    </row>
    <row r="306" customFormat="false" ht="15" hidden="false" customHeight="false" outlineLevel="0" collapsed="false">
      <c r="A306" s="19" t="s">
        <v>1133</v>
      </c>
      <c r="B306" s="19" t="s">
        <v>32</v>
      </c>
      <c r="C306" s="19" t="s">
        <v>29</v>
      </c>
      <c r="D306" s="19" t="s">
        <v>162</v>
      </c>
      <c r="E306" s="20" t="n">
        <v>5000</v>
      </c>
      <c r="F306" s="20" t="n">
        <v>1451400000</v>
      </c>
      <c r="G306" s="21" t="n">
        <f aca="false">IFERROR(E306/F306,"")</f>
        <v>3.44494970373433E-006</v>
      </c>
      <c r="H306" s="19" t="s">
        <v>380</v>
      </c>
      <c r="I306" s="19" t="s">
        <v>391</v>
      </c>
      <c r="J306" s="19" t="s">
        <v>386</v>
      </c>
      <c r="K306" s="19" t="s">
        <v>387</v>
      </c>
      <c r="L306" s="19" t="s">
        <v>360</v>
      </c>
      <c r="M306" s="19"/>
      <c r="N306" s="19" t="s">
        <v>30</v>
      </c>
      <c r="O306" s="19"/>
      <c r="P306" s="19" t="s">
        <v>361</v>
      </c>
      <c r="Q306" s="19" t="s">
        <v>30</v>
      </c>
      <c r="R306" s="19"/>
      <c r="S306" s="22" t="s">
        <v>1134</v>
      </c>
    </row>
    <row r="307" customFormat="false" ht="15" hidden="false" customHeight="false" outlineLevel="0" collapsed="false">
      <c r="A307" s="7" t="s">
        <v>1135</v>
      </c>
      <c r="B307" s="7" t="s">
        <v>32</v>
      </c>
      <c r="C307" s="7" t="s">
        <v>29</v>
      </c>
      <c r="D307" s="7" t="s">
        <v>162</v>
      </c>
      <c r="E307" s="8" t="n">
        <v>5000</v>
      </c>
      <c r="F307" s="8" t="n">
        <v>1451400000</v>
      </c>
      <c r="G307" s="11" t="n">
        <f aca="false">IFERROR(E307/F307,"")</f>
        <v>3.44494970373433E-006</v>
      </c>
      <c r="H307" s="7" t="s">
        <v>380</v>
      </c>
      <c r="I307" s="7" t="s">
        <v>385</v>
      </c>
      <c r="J307" s="7" t="s">
        <v>386</v>
      </c>
      <c r="K307" s="7" t="s">
        <v>387</v>
      </c>
      <c r="L307" s="7" t="s">
        <v>360</v>
      </c>
      <c r="M307" s="7"/>
      <c r="N307" s="7" t="s">
        <v>30</v>
      </c>
      <c r="O307" s="7"/>
      <c r="P307" s="7" t="s">
        <v>361</v>
      </c>
      <c r="Q307" s="7" t="s">
        <v>30</v>
      </c>
      <c r="R307" s="7"/>
      <c r="S307" s="23" t="s">
        <v>1136</v>
      </c>
    </row>
    <row r="308" customFormat="false" ht="15" hidden="false" customHeight="false" outlineLevel="0" collapsed="false">
      <c r="A308" s="19" t="s">
        <v>1137</v>
      </c>
      <c r="B308" s="19" t="s">
        <v>51</v>
      </c>
      <c r="C308" s="19" t="s">
        <v>29</v>
      </c>
      <c r="D308" s="19" t="s">
        <v>162</v>
      </c>
      <c r="E308" s="20" t="n">
        <v>48000</v>
      </c>
      <c r="F308" s="20" t="n">
        <v>14100000000.82</v>
      </c>
      <c r="G308" s="21" t="n">
        <f aca="false">IFERROR(E308/F308,"")</f>
        <v>3.40425531895096E-006</v>
      </c>
      <c r="H308" s="19" t="s">
        <v>380</v>
      </c>
      <c r="I308" s="19" t="s">
        <v>414</v>
      </c>
      <c r="J308" s="19" t="s">
        <v>386</v>
      </c>
      <c r="K308" s="19" t="s">
        <v>400</v>
      </c>
      <c r="L308" s="19" t="s">
        <v>360</v>
      </c>
      <c r="M308" s="19"/>
      <c r="N308" s="19" t="s">
        <v>30</v>
      </c>
      <c r="O308" s="19"/>
      <c r="P308" s="19" t="s">
        <v>361</v>
      </c>
      <c r="Q308" s="19" t="s">
        <v>30</v>
      </c>
      <c r="R308" s="19"/>
      <c r="S308" s="22" t="s">
        <v>1138</v>
      </c>
    </row>
    <row r="309" customFormat="false" ht="15" hidden="false" customHeight="false" outlineLevel="0" collapsed="false">
      <c r="A309" s="7" t="s">
        <v>1139</v>
      </c>
      <c r="B309" s="7" t="s">
        <v>51</v>
      </c>
      <c r="C309" s="7" t="s">
        <v>762</v>
      </c>
      <c r="D309" s="7" t="s">
        <v>223</v>
      </c>
      <c r="E309" s="8" t="n">
        <v>48000</v>
      </c>
      <c r="F309" s="8" t="n">
        <v>14100000000.82</v>
      </c>
      <c r="G309" s="11" t="n">
        <f aca="false">IFERROR(E309/F309,"")</f>
        <v>3.40425531895096E-006</v>
      </c>
      <c r="H309" s="7" t="s">
        <v>380</v>
      </c>
      <c r="I309" s="7" t="s">
        <v>414</v>
      </c>
      <c r="J309" s="7" t="s">
        <v>386</v>
      </c>
      <c r="K309" s="7" t="s">
        <v>400</v>
      </c>
      <c r="L309" s="7"/>
      <c r="M309" s="7"/>
      <c r="N309" s="7" t="s">
        <v>30</v>
      </c>
      <c r="O309" s="7"/>
      <c r="P309" s="7" t="s">
        <v>452</v>
      </c>
      <c r="Q309" s="7" t="s">
        <v>30</v>
      </c>
      <c r="R309" s="7"/>
      <c r="S309" s="23" t="s">
        <v>1140</v>
      </c>
    </row>
    <row r="310" customFormat="false" ht="15" hidden="false" customHeight="false" outlineLevel="0" collapsed="false">
      <c r="A310" s="19" t="s">
        <v>1141</v>
      </c>
      <c r="B310" s="19" t="s">
        <v>155</v>
      </c>
      <c r="C310" s="19" t="s">
        <v>49</v>
      </c>
      <c r="D310" s="19" t="s">
        <v>137</v>
      </c>
      <c r="E310" s="20" t="n">
        <v>3000</v>
      </c>
      <c r="F310" s="20" t="n">
        <v>932000000</v>
      </c>
      <c r="G310" s="21" t="n">
        <f aca="false">IFERROR(E310/F310,"")</f>
        <v>3.21888412017167E-006</v>
      </c>
      <c r="H310" s="19" t="s">
        <v>380</v>
      </c>
      <c r="I310" s="19" t="s">
        <v>1111</v>
      </c>
      <c r="J310" s="19" t="s">
        <v>358</v>
      </c>
      <c r="K310" s="19" t="s">
        <v>366</v>
      </c>
      <c r="L310" s="19" t="s">
        <v>388</v>
      </c>
      <c r="M310" s="19"/>
      <c r="N310" s="19" t="s">
        <v>30</v>
      </c>
      <c r="O310" s="19"/>
      <c r="P310" s="19" t="s">
        <v>361</v>
      </c>
      <c r="Q310" s="19" t="s">
        <v>30</v>
      </c>
      <c r="R310" s="19"/>
      <c r="S310" s="22" t="s">
        <v>1142</v>
      </c>
    </row>
    <row r="311" customFormat="false" ht="15" hidden="false" customHeight="false" outlineLevel="0" collapsed="false">
      <c r="A311" s="7" t="s">
        <v>1143</v>
      </c>
      <c r="B311" s="7" t="s">
        <v>155</v>
      </c>
      <c r="C311" s="7" t="s">
        <v>49</v>
      </c>
      <c r="D311" s="7" t="s">
        <v>140</v>
      </c>
      <c r="E311" s="8" t="n">
        <v>2900</v>
      </c>
      <c r="F311" s="8" t="n">
        <v>932000000</v>
      </c>
      <c r="G311" s="11" t="n">
        <f aca="false">IFERROR(E311/F311,"")</f>
        <v>3.11158798283262E-006</v>
      </c>
      <c r="H311" s="7" t="s">
        <v>380</v>
      </c>
      <c r="I311" s="7" t="s">
        <v>414</v>
      </c>
      <c r="J311" s="7" t="s">
        <v>386</v>
      </c>
      <c r="K311" s="7" t="s">
        <v>400</v>
      </c>
      <c r="L311" s="7" t="s">
        <v>388</v>
      </c>
      <c r="M311" s="7"/>
      <c r="N311" s="7" t="s">
        <v>30</v>
      </c>
      <c r="O311" s="7"/>
      <c r="P311" s="7" t="s">
        <v>361</v>
      </c>
      <c r="Q311" s="7" t="s">
        <v>30</v>
      </c>
      <c r="R311" s="7"/>
      <c r="S311" s="23" t="s">
        <v>1144</v>
      </c>
    </row>
    <row r="312" customFormat="false" ht="15" hidden="false" customHeight="false" outlineLevel="0" collapsed="false">
      <c r="A312" s="19" t="s">
        <v>1145</v>
      </c>
      <c r="B312" s="19" t="s">
        <v>270</v>
      </c>
      <c r="C312" s="19" t="s">
        <v>49</v>
      </c>
      <c r="D312" s="19" t="s">
        <v>162</v>
      </c>
      <c r="E312" s="20" t="n">
        <v>3000</v>
      </c>
      <c r="F312" s="20" t="n">
        <v>980000000</v>
      </c>
      <c r="G312" s="21" t="n">
        <f aca="false">IFERROR(E312/F312,"")</f>
        <v>3.06122448979592E-006</v>
      </c>
      <c r="H312" s="19" t="s">
        <v>380</v>
      </c>
      <c r="I312" s="19" t="s">
        <v>414</v>
      </c>
      <c r="J312" s="19" t="s">
        <v>386</v>
      </c>
      <c r="K312" s="19" t="s">
        <v>400</v>
      </c>
      <c r="L312" s="19" t="s">
        <v>388</v>
      </c>
      <c r="M312" s="19"/>
      <c r="N312" s="19" t="s">
        <v>30</v>
      </c>
      <c r="O312" s="19"/>
      <c r="P312" s="19" t="s">
        <v>361</v>
      </c>
      <c r="Q312" s="19" t="s">
        <v>30</v>
      </c>
      <c r="R312" s="19"/>
      <c r="S312" s="22" t="s">
        <v>1146</v>
      </c>
    </row>
    <row r="313" customFormat="false" ht="15" hidden="false" customHeight="false" outlineLevel="0" collapsed="false">
      <c r="A313" s="7" t="s">
        <v>1147</v>
      </c>
      <c r="B313" s="7" t="s">
        <v>154</v>
      </c>
      <c r="C313" s="7" t="s">
        <v>49</v>
      </c>
      <c r="D313" s="7" t="s">
        <v>162</v>
      </c>
      <c r="E313" s="8" t="n">
        <v>3000</v>
      </c>
      <c r="F313" s="8" t="n">
        <v>980000000</v>
      </c>
      <c r="G313" s="11" t="n">
        <f aca="false">IFERROR(E313/F313,"")</f>
        <v>3.06122448979592E-006</v>
      </c>
      <c r="H313" s="7" t="s">
        <v>380</v>
      </c>
      <c r="I313" s="7" t="s">
        <v>414</v>
      </c>
      <c r="J313" s="7" t="s">
        <v>386</v>
      </c>
      <c r="K313" s="7" t="s">
        <v>400</v>
      </c>
      <c r="L313" s="7" t="s">
        <v>388</v>
      </c>
      <c r="M313" s="7"/>
      <c r="N313" s="7" t="s">
        <v>30</v>
      </c>
      <c r="O313" s="7"/>
      <c r="P313" s="7" t="s">
        <v>361</v>
      </c>
      <c r="Q313" s="7" t="s">
        <v>30</v>
      </c>
      <c r="R313" s="7"/>
      <c r="S313" s="23" t="s">
        <v>1148</v>
      </c>
    </row>
    <row r="314" customFormat="false" ht="15" hidden="false" customHeight="false" outlineLevel="0" collapsed="false">
      <c r="A314" s="19" t="s">
        <v>1149</v>
      </c>
      <c r="B314" s="19" t="s">
        <v>143</v>
      </c>
      <c r="C314" s="19" t="s">
        <v>29</v>
      </c>
      <c r="D314" s="19" t="s">
        <v>140</v>
      </c>
      <c r="E314" s="20" t="n">
        <v>100000</v>
      </c>
      <c r="F314" s="20" t="n">
        <v>35075873000</v>
      </c>
      <c r="G314" s="21" t="n">
        <f aca="false">IFERROR(E314/F314,"")</f>
        <v>2.85096254054746E-006</v>
      </c>
      <c r="H314" s="19" t="s">
        <v>356</v>
      </c>
      <c r="I314" s="19" t="s">
        <v>1078</v>
      </c>
      <c r="J314" s="19" t="s">
        <v>358</v>
      </c>
      <c r="K314" s="19" t="s">
        <v>366</v>
      </c>
      <c r="L314" s="19" t="s">
        <v>360</v>
      </c>
      <c r="M314" s="19" t="s">
        <v>144</v>
      </c>
      <c r="N314" s="19" t="s">
        <v>145</v>
      </c>
      <c r="O314" s="19"/>
      <c r="P314" s="19" t="s">
        <v>361</v>
      </c>
      <c r="Q314" s="19" t="s">
        <v>36</v>
      </c>
      <c r="R314" s="19"/>
      <c r="S314" s="22" t="s">
        <v>1150</v>
      </c>
    </row>
    <row r="315" customFormat="false" ht="15" hidden="false" customHeight="false" outlineLevel="0" collapsed="false">
      <c r="A315" s="7" t="s">
        <v>1151</v>
      </c>
      <c r="B315" s="7" t="s">
        <v>225</v>
      </c>
      <c r="C315" s="7" t="s">
        <v>97</v>
      </c>
      <c r="D315" s="7" t="s">
        <v>140</v>
      </c>
      <c r="E315" s="8" t="n">
        <v>30000</v>
      </c>
      <c r="F315" s="8" t="n">
        <v>10605294000</v>
      </c>
      <c r="G315" s="11" t="n">
        <f aca="false">IFERROR(E315/F315,"")</f>
        <v>2.82877589249294E-006</v>
      </c>
      <c r="H315" s="7" t="s">
        <v>356</v>
      </c>
      <c r="I315" s="7" t="s">
        <v>687</v>
      </c>
      <c r="J315" s="7" t="s">
        <v>386</v>
      </c>
      <c r="K315" s="7" t="s">
        <v>405</v>
      </c>
      <c r="L315" s="7" t="s">
        <v>422</v>
      </c>
      <c r="M315" s="7" t="s">
        <v>132</v>
      </c>
      <c r="N315" s="7" t="s">
        <v>133</v>
      </c>
      <c r="O315" s="7" t="s">
        <v>226</v>
      </c>
      <c r="P315" s="7" t="s">
        <v>361</v>
      </c>
      <c r="Q315" s="7" t="s">
        <v>36</v>
      </c>
      <c r="R315" s="7"/>
      <c r="S315" s="23" t="s">
        <v>1152</v>
      </c>
    </row>
    <row r="316" customFormat="false" ht="15" hidden="false" customHeight="false" outlineLevel="0" collapsed="false">
      <c r="A316" s="19" t="s">
        <v>1153</v>
      </c>
      <c r="B316" s="19" t="s">
        <v>189</v>
      </c>
      <c r="C316" s="19" t="s">
        <v>49</v>
      </c>
      <c r="D316" s="19" t="s">
        <v>291</v>
      </c>
      <c r="E316" s="20" t="n">
        <v>2000</v>
      </c>
      <c r="F316" s="20" t="n">
        <v>720780000</v>
      </c>
      <c r="G316" s="21" t="n">
        <f aca="false">IFERROR(E316/F316,"")</f>
        <v>2.7747717750215E-006</v>
      </c>
      <c r="H316" s="19" t="s">
        <v>364</v>
      </c>
      <c r="I316" s="19" t="s">
        <v>757</v>
      </c>
      <c r="J316" s="19" t="s">
        <v>386</v>
      </c>
      <c r="K316" s="19" t="s">
        <v>400</v>
      </c>
      <c r="L316" s="19" t="s">
        <v>388</v>
      </c>
      <c r="M316" s="19"/>
      <c r="N316" s="19" t="s">
        <v>30</v>
      </c>
      <c r="O316" s="19"/>
      <c r="P316" s="19" t="s">
        <v>361</v>
      </c>
      <c r="Q316" s="19" t="s">
        <v>30</v>
      </c>
      <c r="R316" s="19"/>
      <c r="S316" s="22" t="s">
        <v>1154</v>
      </c>
    </row>
    <row r="317" customFormat="false" ht="15" hidden="false" customHeight="false" outlineLevel="0" collapsed="false">
      <c r="A317" s="7" t="s">
        <v>1155</v>
      </c>
      <c r="B317" s="7" t="s">
        <v>232</v>
      </c>
      <c r="C317" s="7" t="s">
        <v>29</v>
      </c>
      <c r="D317" s="7" t="s">
        <v>162</v>
      </c>
      <c r="E317" s="8" t="n">
        <v>25000</v>
      </c>
      <c r="F317" s="8" t="n">
        <v>9942000000</v>
      </c>
      <c r="G317" s="11" t="n">
        <f aca="false">IFERROR(E317/F317,"")</f>
        <v>2.51458459062563E-006</v>
      </c>
      <c r="H317" s="7" t="s">
        <v>370</v>
      </c>
      <c r="I317" s="7" t="s">
        <v>1156</v>
      </c>
      <c r="J317" s="7" t="s">
        <v>386</v>
      </c>
      <c r="K317" s="7" t="s">
        <v>473</v>
      </c>
      <c r="L317" s="7" t="s">
        <v>360</v>
      </c>
      <c r="M317" s="7" t="s">
        <v>132</v>
      </c>
      <c r="N317" s="7" t="s">
        <v>141</v>
      </c>
      <c r="O317" s="7" t="s">
        <v>231</v>
      </c>
      <c r="P317" s="7" t="s">
        <v>361</v>
      </c>
      <c r="Q317" s="7" t="s">
        <v>36</v>
      </c>
      <c r="R317" s="7"/>
      <c r="S317" s="23" t="s">
        <v>1157</v>
      </c>
    </row>
    <row r="318" customFormat="false" ht="15" hidden="false" customHeight="false" outlineLevel="0" collapsed="false">
      <c r="A318" s="19" t="s">
        <v>1158</v>
      </c>
      <c r="B318" s="19" t="s">
        <v>46</v>
      </c>
      <c r="C318" s="19" t="s">
        <v>29</v>
      </c>
      <c r="D318" s="19" t="s">
        <v>291</v>
      </c>
      <c r="E318" s="20" t="n">
        <v>25000</v>
      </c>
      <c r="F318" s="20" t="n">
        <v>10000000000</v>
      </c>
      <c r="G318" s="21" t="n">
        <f aca="false">IFERROR(E318/F318,"")</f>
        <v>2.5E-006</v>
      </c>
      <c r="H318" s="19" t="s">
        <v>364</v>
      </c>
      <c r="I318" s="19" t="s">
        <v>1159</v>
      </c>
      <c r="J318" s="19" t="s">
        <v>358</v>
      </c>
      <c r="K318" s="19" t="s">
        <v>366</v>
      </c>
      <c r="L318" s="19" t="s">
        <v>360</v>
      </c>
      <c r="M318" s="19"/>
      <c r="N318" s="19" t="s">
        <v>30</v>
      </c>
      <c r="O318" s="19"/>
      <c r="P318" s="19" t="s">
        <v>361</v>
      </c>
      <c r="Q318" s="19" t="s">
        <v>30</v>
      </c>
      <c r="R318" s="19"/>
      <c r="S318" s="22" t="s">
        <v>1160</v>
      </c>
    </row>
    <row r="319" customFormat="false" ht="15" hidden="false" customHeight="false" outlineLevel="0" collapsed="false">
      <c r="A319" s="7" t="s">
        <v>1161</v>
      </c>
      <c r="B319" s="7" t="s">
        <v>146</v>
      </c>
      <c r="C319" s="7" t="s">
        <v>29</v>
      </c>
      <c r="D319" s="7" t="s">
        <v>132</v>
      </c>
      <c r="E319" s="8" t="n">
        <v>25000</v>
      </c>
      <c r="F319" s="8" t="n">
        <v>10000000000</v>
      </c>
      <c r="G319" s="11" t="n">
        <f aca="false">IFERROR(E319/F319,"")</f>
        <v>2.5E-006</v>
      </c>
      <c r="H319" s="7" t="s">
        <v>364</v>
      </c>
      <c r="I319" s="7" t="s">
        <v>414</v>
      </c>
      <c r="J319" s="7" t="s">
        <v>386</v>
      </c>
      <c r="K319" s="7" t="s">
        <v>400</v>
      </c>
      <c r="L319" s="7" t="s">
        <v>360</v>
      </c>
      <c r="M319" s="7"/>
      <c r="N319" s="7" t="s">
        <v>30</v>
      </c>
      <c r="O319" s="7"/>
      <c r="P319" s="7" t="s">
        <v>361</v>
      </c>
      <c r="Q319" s="7" t="s">
        <v>30</v>
      </c>
      <c r="R319" s="7"/>
      <c r="S319" s="23" t="s">
        <v>1162</v>
      </c>
    </row>
    <row r="320" customFormat="false" ht="15" hidden="false" customHeight="false" outlineLevel="0" collapsed="false">
      <c r="A320" s="19" t="s">
        <v>1163</v>
      </c>
      <c r="B320" s="19" t="s">
        <v>43</v>
      </c>
      <c r="C320" s="19" t="s">
        <v>29</v>
      </c>
      <c r="D320" s="19" t="s">
        <v>140</v>
      </c>
      <c r="E320" s="20" t="n">
        <v>60000</v>
      </c>
      <c r="F320" s="20" t="n">
        <v>26240000000</v>
      </c>
      <c r="G320" s="21" t="n">
        <f aca="false">IFERROR(E320/F320,"")</f>
        <v>2.28658536585366E-006</v>
      </c>
      <c r="H320" s="19" t="s">
        <v>364</v>
      </c>
      <c r="I320" s="19" t="s">
        <v>519</v>
      </c>
      <c r="J320" s="19" t="s">
        <v>358</v>
      </c>
      <c r="K320" s="19" t="s">
        <v>359</v>
      </c>
      <c r="L320" s="19" t="s">
        <v>360</v>
      </c>
      <c r="M320" s="19"/>
      <c r="N320" s="19" t="s">
        <v>30</v>
      </c>
      <c r="O320" s="19"/>
      <c r="P320" s="19" t="s">
        <v>361</v>
      </c>
      <c r="Q320" s="19" t="s">
        <v>30</v>
      </c>
      <c r="R320" s="19"/>
      <c r="S320" s="22" t="s">
        <v>1164</v>
      </c>
    </row>
    <row r="321" customFormat="false" ht="15" hidden="false" customHeight="false" outlineLevel="0" collapsed="false">
      <c r="A321" s="7" t="s">
        <v>1165</v>
      </c>
      <c r="B321" s="7" t="s">
        <v>143</v>
      </c>
      <c r="C321" s="7" t="s">
        <v>29</v>
      </c>
      <c r="D321" s="7" t="s">
        <v>162</v>
      </c>
      <c r="E321" s="8" t="n">
        <v>80000</v>
      </c>
      <c r="F321" s="8" t="n">
        <v>35075873000</v>
      </c>
      <c r="G321" s="11" t="n">
        <f aca="false">IFERROR(E321/F321,"")</f>
        <v>2.28077003243797E-006</v>
      </c>
      <c r="H321" s="7" t="s">
        <v>356</v>
      </c>
      <c r="I321" s="7" t="s">
        <v>519</v>
      </c>
      <c r="J321" s="7" t="s">
        <v>358</v>
      </c>
      <c r="K321" s="7" t="s">
        <v>359</v>
      </c>
      <c r="L321" s="7" t="s">
        <v>360</v>
      </c>
      <c r="M321" s="7" t="s">
        <v>144</v>
      </c>
      <c r="N321" s="7" t="s">
        <v>145</v>
      </c>
      <c r="O321" s="7"/>
      <c r="P321" s="7" t="s">
        <v>361</v>
      </c>
      <c r="Q321" s="7" t="s">
        <v>36</v>
      </c>
      <c r="R321" s="7"/>
      <c r="S321" s="23" t="s">
        <v>1166</v>
      </c>
    </row>
    <row r="322" customFormat="false" ht="15" hidden="false" customHeight="false" outlineLevel="0" collapsed="false">
      <c r="A322" s="19" t="s">
        <v>1167</v>
      </c>
      <c r="B322" s="19" t="s">
        <v>1168</v>
      </c>
      <c r="C322" s="19" t="s">
        <v>29</v>
      </c>
      <c r="D322" s="19" t="s">
        <v>137</v>
      </c>
      <c r="E322" s="20" t="n">
        <v>90000</v>
      </c>
      <c r="F322" s="20" t="n">
        <v>40652000000</v>
      </c>
      <c r="G322" s="21" t="n">
        <f aca="false">IFERROR(E322/F322,"")</f>
        <v>2.21391321460199E-006</v>
      </c>
      <c r="H322" s="19" t="s">
        <v>380</v>
      </c>
      <c r="I322" s="19" t="s">
        <v>385</v>
      </c>
      <c r="J322" s="19" t="s">
        <v>386</v>
      </c>
      <c r="K322" s="19" t="s">
        <v>387</v>
      </c>
      <c r="L322" s="19" t="s">
        <v>360</v>
      </c>
      <c r="M322" s="19" t="s">
        <v>132</v>
      </c>
      <c r="N322" s="19" t="s">
        <v>135</v>
      </c>
      <c r="O322" s="19" t="s">
        <v>167</v>
      </c>
      <c r="P322" s="19" t="s">
        <v>361</v>
      </c>
      <c r="Q322" s="19" t="s">
        <v>36</v>
      </c>
      <c r="R322" s="19"/>
      <c r="S322" s="22" t="s">
        <v>1169</v>
      </c>
    </row>
    <row r="323" customFormat="false" ht="15" hidden="false" customHeight="false" outlineLevel="0" collapsed="false">
      <c r="A323" s="7" t="s">
        <v>1170</v>
      </c>
      <c r="B323" s="7" t="s">
        <v>175</v>
      </c>
      <c r="C323" s="7" t="s">
        <v>176</v>
      </c>
      <c r="D323" s="7" t="s">
        <v>223</v>
      </c>
      <c r="E323" s="8" t="n">
        <v>28100</v>
      </c>
      <c r="F323" s="8" t="n">
        <v>13143127997.85</v>
      </c>
      <c r="G323" s="11" t="n">
        <f aca="false">IFERROR(E323/F323,"")</f>
        <v>2.13799941723132E-006</v>
      </c>
      <c r="H323" s="7" t="s">
        <v>676</v>
      </c>
      <c r="I323" s="7" t="s">
        <v>1171</v>
      </c>
      <c r="J323" s="7" t="s">
        <v>358</v>
      </c>
      <c r="K323" s="7" t="s">
        <v>359</v>
      </c>
      <c r="L323" s="7" t="s">
        <v>591</v>
      </c>
      <c r="M323" s="7"/>
      <c r="N323" s="7" t="s">
        <v>30</v>
      </c>
      <c r="O323" s="7"/>
      <c r="P323" s="7" t="s">
        <v>361</v>
      </c>
      <c r="Q323" s="7" t="s">
        <v>30</v>
      </c>
      <c r="R323" s="7"/>
      <c r="S323" s="23" t="s">
        <v>1172</v>
      </c>
    </row>
    <row r="324" customFormat="false" ht="15" hidden="false" customHeight="false" outlineLevel="0" collapsed="false">
      <c r="A324" s="19" t="s">
        <v>1173</v>
      </c>
      <c r="B324" s="19" t="s">
        <v>1174</v>
      </c>
      <c r="C324" s="19" t="s">
        <v>29</v>
      </c>
      <c r="D324" s="19" t="s">
        <v>132</v>
      </c>
      <c r="E324" s="20" t="n">
        <v>56000</v>
      </c>
      <c r="F324" s="20" t="n">
        <v>26240000000</v>
      </c>
      <c r="G324" s="21" t="n">
        <f aca="false">IFERROR(E324/F324,"")</f>
        <v>2.13414634146341E-006</v>
      </c>
      <c r="H324" s="19" t="s">
        <v>364</v>
      </c>
      <c r="I324" s="19" t="s">
        <v>468</v>
      </c>
      <c r="J324" s="19" t="s">
        <v>358</v>
      </c>
      <c r="K324" s="19" t="s">
        <v>372</v>
      </c>
      <c r="L324" s="19" t="s">
        <v>360</v>
      </c>
      <c r="M324" s="19"/>
      <c r="N324" s="19" t="s">
        <v>30</v>
      </c>
      <c r="O324" s="19"/>
      <c r="P324" s="19" t="s">
        <v>361</v>
      </c>
      <c r="Q324" s="19" t="s">
        <v>30</v>
      </c>
      <c r="R324" s="19"/>
      <c r="S324" s="22" t="s">
        <v>1175</v>
      </c>
    </row>
    <row r="325" customFormat="false" ht="15" hidden="false" customHeight="false" outlineLevel="0" collapsed="false">
      <c r="A325" s="7" t="s">
        <v>1176</v>
      </c>
      <c r="B325" s="7" t="s">
        <v>154</v>
      </c>
      <c r="C325" s="7" t="s">
        <v>49</v>
      </c>
      <c r="D325" s="7" t="s">
        <v>140</v>
      </c>
      <c r="E325" s="8" t="n">
        <v>2000</v>
      </c>
      <c r="F325" s="8" t="n">
        <v>980000000</v>
      </c>
      <c r="G325" s="11" t="n">
        <f aca="false">IFERROR(E325/F325,"")</f>
        <v>2.04081632653061E-006</v>
      </c>
      <c r="H325" s="7" t="s">
        <v>380</v>
      </c>
      <c r="I325" s="7" t="s">
        <v>1177</v>
      </c>
      <c r="J325" s="7" t="s">
        <v>358</v>
      </c>
      <c r="K325" s="7" t="s">
        <v>366</v>
      </c>
      <c r="L325" s="7" t="s">
        <v>388</v>
      </c>
      <c r="M325" s="7"/>
      <c r="N325" s="7" t="s">
        <v>30</v>
      </c>
      <c r="O325" s="7"/>
      <c r="P325" s="7" t="s">
        <v>361</v>
      </c>
      <c r="Q325" s="7" t="s">
        <v>30</v>
      </c>
      <c r="R325" s="7"/>
      <c r="S325" s="23" t="s">
        <v>1178</v>
      </c>
    </row>
    <row r="326" customFormat="false" ht="15" hidden="false" customHeight="false" outlineLevel="0" collapsed="false">
      <c r="A326" s="19" t="s">
        <v>1179</v>
      </c>
      <c r="B326" s="19" t="s">
        <v>272</v>
      </c>
      <c r="C326" s="19" t="s">
        <v>49</v>
      </c>
      <c r="D326" s="19" t="s">
        <v>223</v>
      </c>
      <c r="E326" s="20" t="n">
        <v>2000</v>
      </c>
      <c r="F326" s="20" t="n">
        <v>980000000</v>
      </c>
      <c r="G326" s="21" t="n">
        <f aca="false">IFERROR(E326/F326,"")</f>
        <v>2.04081632653061E-006</v>
      </c>
      <c r="H326" s="19" t="s">
        <v>380</v>
      </c>
      <c r="I326" s="19" t="s">
        <v>414</v>
      </c>
      <c r="J326" s="19" t="s">
        <v>386</v>
      </c>
      <c r="K326" s="19" t="s">
        <v>400</v>
      </c>
      <c r="L326" s="19" t="s">
        <v>388</v>
      </c>
      <c r="M326" s="19"/>
      <c r="N326" s="19" t="s">
        <v>30</v>
      </c>
      <c r="O326" s="19"/>
      <c r="P326" s="19" t="s">
        <v>361</v>
      </c>
      <c r="Q326" s="19" t="s">
        <v>30</v>
      </c>
      <c r="R326" s="19"/>
      <c r="S326" s="22" t="s">
        <v>1180</v>
      </c>
    </row>
    <row r="327" customFormat="false" ht="15" hidden="false" customHeight="false" outlineLevel="0" collapsed="false">
      <c r="A327" s="7" t="s">
        <v>1181</v>
      </c>
      <c r="B327" s="7" t="s">
        <v>159</v>
      </c>
      <c r="C327" s="7" t="s">
        <v>97</v>
      </c>
      <c r="D327" s="7" t="s">
        <v>291</v>
      </c>
      <c r="E327" s="8" t="n">
        <v>117000</v>
      </c>
      <c r="F327" s="8" t="n">
        <v>57647000000</v>
      </c>
      <c r="G327" s="11" t="n">
        <f aca="false">IFERROR(E327/F327,"")</f>
        <v>2.02959390774889E-006</v>
      </c>
      <c r="H327" s="7" t="s">
        <v>364</v>
      </c>
      <c r="I327" s="7" t="s">
        <v>1182</v>
      </c>
      <c r="J327" s="7" t="s">
        <v>386</v>
      </c>
      <c r="K327" s="7" t="s">
        <v>405</v>
      </c>
      <c r="L327" s="7" t="s">
        <v>422</v>
      </c>
      <c r="M327" s="7" t="s">
        <v>132</v>
      </c>
      <c r="N327" s="7" t="s">
        <v>141</v>
      </c>
      <c r="O327" s="7" t="s">
        <v>160</v>
      </c>
      <c r="P327" s="7" t="s">
        <v>361</v>
      </c>
      <c r="Q327" s="7" t="s">
        <v>36</v>
      </c>
      <c r="R327" s="7"/>
      <c r="S327" s="23" t="s">
        <v>1183</v>
      </c>
    </row>
    <row r="328" customFormat="false" ht="15" hidden="false" customHeight="false" outlineLevel="0" collapsed="false">
      <c r="A328" s="19" t="s">
        <v>1184</v>
      </c>
      <c r="B328" s="19" t="s">
        <v>41</v>
      </c>
      <c r="C328" s="19" t="s">
        <v>29</v>
      </c>
      <c r="D328" s="19" t="s">
        <v>162</v>
      </c>
      <c r="E328" s="20" t="n">
        <v>36000</v>
      </c>
      <c r="F328" s="20" t="n">
        <v>20000000000</v>
      </c>
      <c r="G328" s="21" t="n">
        <f aca="false">IFERROR(E328/F328,"")</f>
        <v>1.8E-006</v>
      </c>
      <c r="H328" s="19" t="s">
        <v>364</v>
      </c>
      <c r="I328" s="19" t="s">
        <v>371</v>
      </c>
      <c r="J328" s="19" t="s">
        <v>358</v>
      </c>
      <c r="K328" s="19" t="s">
        <v>372</v>
      </c>
      <c r="L328" s="19" t="s">
        <v>360</v>
      </c>
      <c r="M328" s="19"/>
      <c r="N328" s="19" t="s">
        <v>30</v>
      </c>
      <c r="O328" s="19"/>
      <c r="P328" s="19" t="s">
        <v>361</v>
      </c>
      <c r="Q328" s="19" t="s">
        <v>30</v>
      </c>
      <c r="R328" s="19"/>
      <c r="S328" s="22" t="s">
        <v>1185</v>
      </c>
    </row>
    <row r="329" customFormat="false" ht="15" hidden="false" customHeight="false" outlineLevel="0" collapsed="false">
      <c r="A329" s="7" t="s">
        <v>1186</v>
      </c>
      <c r="B329" s="7" t="s">
        <v>217</v>
      </c>
      <c r="C329" s="7" t="s">
        <v>97</v>
      </c>
      <c r="D329" s="7" t="s">
        <v>140</v>
      </c>
      <c r="E329" s="8" t="n">
        <v>35300</v>
      </c>
      <c r="F329" s="8" t="n">
        <v>20796000000</v>
      </c>
      <c r="G329" s="11" t="n">
        <f aca="false">IFERROR(E329/F329,"")</f>
        <v>1.6974418157338E-006</v>
      </c>
      <c r="H329" s="7" t="s">
        <v>364</v>
      </c>
      <c r="I329" s="7" t="s">
        <v>572</v>
      </c>
      <c r="J329" s="7" t="s">
        <v>386</v>
      </c>
      <c r="K329" s="7" t="s">
        <v>405</v>
      </c>
      <c r="L329" s="7" t="s">
        <v>422</v>
      </c>
      <c r="M329" s="7" t="s">
        <v>137</v>
      </c>
      <c r="N329" s="7" t="s">
        <v>141</v>
      </c>
      <c r="O329" s="7" t="s">
        <v>218</v>
      </c>
      <c r="P329" s="7" t="s">
        <v>361</v>
      </c>
      <c r="Q329" s="7" t="s">
        <v>36</v>
      </c>
      <c r="R329" s="7"/>
      <c r="S329" s="23" t="s">
        <v>1187</v>
      </c>
    </row>
    <row r="330" customFormat="false" ht="15" hidden="false" customHeight="false" outlineLevel="0" collapsed="false">
      <c r="A330" s="19" t="s">
        <v>1188</v>
      </c>
      <c r="B330" s="19" t="s">
        <v>38</v>
      </c>
      <c r="C330" s="19" t="s">
        <v>105</v>
      </c>
      <c r="D330" s="19" t="s">
        <v>162</v>
      </c>
      <c r="E330" s="20" t="n">
        <v>2890</v>
      </c>
      <c r="F330" s="20" t="n">
        <v>1878000000</v>
      </c>
      <c r="G330" s="21" t="n">
        <f aca="false">IFERROR(E330/F330,"")</f>
        <v>1.53887113951012E-006</v>
      </c>
      <c r="H330" s="19" t="s">
        <v>364</v>
      </c>
      <c r="I330" s="19" t="s">
        <v>494</v>
      </c>
      <c r="J330" s="19" t="s">
        <v>358</v>
      </c>
      <c r="K330" s="19" t="s">
        <v>359</v>
      </c>
      <c r="L330" s="19" t="s">
        <v>401</v>
      </c>
      <c r="M330" s="19"/>
      <c r="N330" s="19" t="s">
        <v>30</v>
      </c>
      <c r="O330" s="19"/>
      <c r="P330" s="19" t="s">
        <v>361</v>
      </c>
      <c r="Q330" s="19" t="s">
        <v>30</v>
      </c>
      <c r="R330" s="19"/>
      <c r="S330" s="22" t="s">
        <v>1189</v>
      </c>
    </row>
    <row r="331" customFormat="false" ht="15" hidden="false" customHeight="false" outlineLevel="0" collapsed="false">
      <c r="A331" s="7" t="s">
        <v>1190</v>
      </c>
      <c r="B331" s="7" t="s">
        <v>168</v>
      </c>
      <c r="C331" s="7" t="s">
        <v>57</v>
      </c>
      <c r="D331" s="7" t="s">
        <v>162</v>
      </c>
      <c r="E331" s="8" t="n">
        <v>60000</v>
      </c>
      <c r="F331" s="8" t="n">
        <v>39757208000</v>
      </c>
      <c r="G331" s="11" t="n">
        <f aca="false">IFERROR(E331/F331,"")</f>
        <v>1.5091603011962E-006</v>
      </c>
      <c r="H331" s="7" t="s">
        <v>370</v>
      </c>
      <c r="I331" s="7" t="s">
        <v>1191</v>
      </c>
      <c r="J331" s="7" t="s">
        <v>358</v>
      </c>
      <c r="K331" s="7" t="s">
        <v>400</v>
      </c>
      <c r="L331" s="7" t="s">
        <v>377</v>
      </c>
      <c r="M331" s="7"/>
      <c r="N331" s="7" t="s">
        <v>30</v>
      </c>
      <c r="O331" s="7"/>
      <c r="P331" s="7" t="s">
        <v>361</v>
      </c>
      <c r="Q331" s="7" t="s">
        <v>30</v>
      </c>
      <c r="R331" s="7"/>
      <c r="S331" s="23" t="s">
        <v>1192</v>
      </c>
    </row>
    <row r="332" customFormat="false" ht="15" hidden="false" customHeight="false" outlineLevel="0" collapsed="false">
      <c r="A332" s="19" t="s">
        <v>1193</v>
      </c>
      <c r="B332" s="19" t="s">
        <v>212</v>
      </c>
      <c r="C332" s="19" t="s">
        <v>29</v>
      </c>
      <c r="D332" s="19" t="s">
        <v>162</v>
      </c>
      <c r="E332" s="20" t="n">
        <v>40000</v>
      </c>
      <c r="F332" s="20" t="n">
        <v>29400000000</v>
      </c>
      <c r="G332" s="21" t="n">
        <f aca="false">IFERROR(E332/F332,"")</f>
        <v>1.36054421768708E-006</v>
      </c>
      <c r="H332" s="19" t="s">
        <v>356</v>
      </c>
      <c r="I332" s="19" t="s">
        <v>385</v>
      </c>
      <c r="J332" s="19" t="s">
        <v>386</v>
      </c>
      <c r="K332" s="19" t="s">
        <v>387</v>
      </c>
      <c r="L332" s="19" t="s">
        <v>360</v>
      </c>
      <c r="M332" s="19" t="s">
        <v>132</v>
      </c>
      <c r="N332" s="19" t="s">
        <v>141</v>
      </c>
      <c r="O332" s="19" t="s">
        <v>213</v>
      </c>
      <c r="P332" s="19" t="s">
        <v>361</v>
      </c>
      <c r="Q332" s="19" t="s">
        <v>36</v>
      </c>
      <c r="R332" s="19"/>
      <c r="S332" s="22" t="s">
        <v>1194</v>
      </c>
    </row>
    <row r="333" customFormat="false" ht="15" hidden="false" customHeight="false" outlineLevel="0" collapsed="false">
      <c r="A333" s="7" t="s">
        <v>1195</v>
      </c>
      <c r="B333" s="7" t="s">
        <v>81</v>
      </c>
      <c r="C333" s="7" t="s">
        <v>70</v>
      </c>
      <c r="D333" s="7" t="s">
        <v>140</v>
      </c>
      <c r="E333" s="8" t="n">
        <v>1400</v>
      </c>
      <c r="F333" s="8" t="n">
        <v>1051000000</v>
      </c>
      <c r="G333" s="11" t="n">
        <f aca="false">IFERROR(E333/F333,"")</f>
        <v>1.33206470028544E-006</v>
      </c>
      <c r="H333" s="7" t="s">
        <v>380</v>
      </c>
      <c r="I333" s="7" t="s">
        <v>941</v>
      </c>
      <c r="J333" s="7" t="s">
        <v>358</v>
      </c>
      <c r="K333" s="7" t="s">
        <v>366</v>
      </c>
      <c r="L333" s="7" t="s">
        <v>418</v>
      </c>
      <c r="M333" s="7" t="s">
        <v>132</v>
      </c>
      <c r="N333" s="7" t="s">
        <v>133</v>
      </c>
      <c r="O333" s="7" t="s">
        <v>134</v>
      </c>
      <c r="P333" s="7" t="s">
        <v>361</v>
      </c>
      <c r="Q333" s="7" t="s">
        <v>36</v>
      </c>
      <c r="R333" s="7"/>
      <c r="S333" s="23" t="s">
        <v>1196</v>
      </c>
    </row>
    <row r="334" customFormat="false" ht="15" hidden="false" customHeight="false" outlineLevel="0" collapsed="false">
      <c r="A334" s="19" t="s">
        <v>1197</v>
      </c>
      <c r="B334" s="19" t="s">
        <v>28</v>
      </c>
      <c r="C334" s="19" t="s">
        <v>762</v>
      </c>
      <c r="D334" s="19"/>
      <c r="E334" s="20" t="n">
        <v>5000</v>
      </c>
      <c r="F334" s="20" t="n">
        <v>4166421000</v>
      </c>
      <c r="G334" s="21" t="n">
        <f aca="false">IFERROR(E334/F334,"")</f>
        <v>1.20007075617178E-006</v>
      </c>
      <c r="H334" s="19" t="s">
        <v>380</v>
      </c>
      <c r="I334" s="19" t="s">
        <v>371</v>
      </c>
      <c r="J334" s="19" t="s">
        <v>358</v>
      </c>
      <c r="K334" s="19" t="s">
        <v>372</v>
      </c>
      <c r="L334" s="19"/>
      <c r="M334" s="19"/>
      <c r="N334" s="19" t="s">
        <v>30</v>
      </c>
      <c r="O334" s="19"/>
      <c r="P334" s="19" t="s">
        <v>542</v>
      </c>
      <c r="Q334" s="19" t="s">
        <v>30</v>
      </c>
      <c r="R334" s="19"/>
      <c r="S334" s="19"/>
    </row>
    <row r="335" customFormat="false" ht="15" hidden="false" customHeight="false" outlineLevel="0" collapsed="false">
      <c r="A335" s="7" t="s">
        <v>1198</v>
      </c>
      <c r="B335" s="7" t="s">
        <v>166</v>
      </c>
      <c r="C335" s="7" t="s">
        <v>29</v>
      </c>
      <c r="D335" s="7" t="s">
        <v>140</v>
      </c>
      <c r="E335" s="8" t="n">
        <v>45000</v>
      </c>
      <c r="F335" s="8" t="n">
        <v>40652000000</v>
      </c>
      <c r="G335" s="11" t="n">
        <f aca="false">IFERROR(E335/F335,"")</f>
        <v>1.10695660730099E-006</v>
      </c>
      <c r="H335" s="7" t="s">
        <v>380</v>
      </c>
      <c r="I335" s="7" t="s">
        <v>519</v>
      </c>
      <c r="J335" s="7" t="s">
        <v>358</v>
      </c>
      <c r="K335" s="7" t="s">
        <v>359</v>
      </c>
      <c r="L335" s="7" t="s">
        <v>360</v>
      </c>
      <c r="M335" s="7" t="s">
        <v>132</v>
      </c>
      <c r="N335" s="7" t="s">
        <v>135</v>
      </c>
      <c r="O335" s="7" t="s">
        <v>167</v>
      </c>
      <c r="P335" s="7" t="s">
        <v>361</v>
      </c>
      <c r="Q335" s="7" t="s">
        <v>36</v>
      </c>
      <c r="R335" s="7"/>
      <c r="S335" s="23" t="s">
        <v>1199</v>
      </c>
    </row>
    <row r="336" customFormat="false" ht="15" hidden="false" customHeight="false" outlineLevel="0" collapsed="false">
      <c r="A336" s="19" t="s">
        <v>1200</v>
      </c>
      <c r="B336" s="19" t="s">
        <v>203</v>
      </c>
      <c r="C336" s="19" t="s">
        <v>571</v>
      </c>
      <c r="D336" s="19" t="s">
        <v>223</v>
      </c>
      <c r="E336" s="20" t="n">
        <v>51000</v>
      </c>
      <c r="F336" s="20" t="n">
        <v>47280271000</v>
      </c>
      <c r="G336" s="21" t="n">
        <f aca="false">IFERROR(E336/F336,"")</f>
        <v>1.07867402029062E-006</v>
      </c>
      <c r="H336" s="19" t="s">
        <v>380</v>
      </c>
      <c r="I336" s="19" t="s">
        <v>1156</v>
      </c>
      <c r="J336" s="19" t="s">
        <v>386</v>
      </c>
      <c r="K336" s="19" t="s">
        <v>473</v>
      </c>
      <c r="L336" s="19"/>
      <c r="M336" s="19" t="s">
        <v>144</v>
      </c>
      <c r="N336" s="19" t="s">
        <v>145</v>
      </c>
      <c r="O336" s="19" t="s">
        <v>205</v>
      </c>
      <c r="P336" s="19" t="s">
        <v>573</v>
      </c>
      <c r="Q336" s="19" t="s">
        <v>36</v>
      </c>
      <c r="R336" s="19"/>
      <c r="S336" s="22" t="s">
        <v>1201</v>
      </c>
    </row>
    <row r="337" customFormat="false" ht="15" hidden="false" customHeight="false" outlineLevel="0" collapsed="false">
      <c r="A337" s="7" t="s">
        <v>1202</v>
      </c>
      <c r="B337" s="7" t="s">
        <v>1203</v>
      </c>
      <c r="C337" s="7" t="s">
        <v>49</v>
      </c>
      <c r="D337" s="7" t="s">
        <v>137</v>
      </c>
      <c r="E337" s="8" t="n">
        <v>2000</v>
      </c>
      <c r="F337" s="8" t="n">
        <v>1861000000</v>
      </c>
      <c r="G337" s="11" t="n">
        <f aca="false">IFERROR(E337/F337,"")</f>
        <v>1.07469102632993E-006</v>
      </c>
      <c r="H337" s="7" t="s">
        <v>364</v>
      </c>
      <c r="I337" s="7" t="s">
        <v>1204</v>
      </c>
      <c r="J337" s="7" t="s">
        <v>386</v>
      </c>
      <c r="K337" s="7" t="s">
        <v>400</v>
      </c>
      <c r="L337" s="7" t="s">
        <v>388</v>
      </c>
      <c r="M337" s="7" t="s">
        <v>132</v>
      </c>
      <c r="N337" s="7" t="s">
        <v>135</v>
      </c>
      <c r="O337" s="7" t="s">
        <v>136</v>
      </c>
      <c r="P337" s="7" t="s">
        <v>361</v>
      </c>
      <c r="Q337" s="7" t="s">
        <v>54</v>
      </c>
      <c r="R337" s="7"/>
      <c r="S337" s="23" t="s">
        <v>1205</v>
      </c>
    </row>
    <row r="338" customFormat="false" ht="15" hidden="false" customHeight="false" outlineLevel="0" collapsed="false">
      <c r="A338" s="19" t="s">
        <v>1206</v>
      </c>
      <c r="B338" s="19" t="s">
        <v>252</v>
      </c>
      <c r="C338" s="19" t="s">
        <v>49</v>
      </c>
      <c r="D338" s="19" t="s">
        <v>132</v>
      </c>
      <c r="E338" s="20" t="n">
        <v>3000</v>
      </c>
      <c r="F338" s="20" t="n">
        <v>3114071978</v>
      </c>
      <c r="G338" s="21" t="n">
        <f aca="false">IFERROR(E338/F338,"")</f>
        <v>9.63368869182895E-007</v>
      </c>
      <c r="H338" s="19" t="s">
        <v>356</v>
      </c>
      <c r="I338" s="19" t="s">
        <v>414</v>
      </c>
      <c r="J338" s="19" t="s">
        <v>386</v>
      </c>
      <c r="K338" s="19" t="s">
        <v>400</v>
      </c>
      <c r="L338" s="19" t="s">
        <v>388</v>
      </c>
      <c r="M338" s="19"/>
      <c r="N338" s="19" t="s">
        <v>30</v>
      </c>
      <c r="O338" s="19"/>
      <c r="P338" s="19" t="s">
        <v>361</v>
      </c>
      <c r="Q338" s="19" t="s">
        <v>30</v>
      </c>
      <c r="R338" s="19"/>
      <c r="S338" s="22" t="s">
        <v>1207</v>
      </c>
    </row>
    <row r="339" customFormat="false" ht="15" hidden="false" customHeight="false" outlineLevel="0" collapsed="false">
      <c r="A339" s="7" t="s">
        <v>1208</v>
      </c>
      <c r="B339" s="7" t="s">
        <v>85</v>
      </c>
      <c r="C339" s="7" t="s">
        <v>49</v>
      </c>
      <c r="D339" s="7" t="s">
        <v>132</v>
      </c>
      <c r="E339" s="8" t="n">
        <v>1000</v>
      </c>
      <c r="F339" s="8" t="n">
        <v>1051000000</v>
      </c>
      <c r="G339" s="11" t="n">
        <f aca="false">IFERROR(E339/F339,"")</f>
        <v>9.51474785918173E-007</v>
      </c>
      <c r="H339" s="7" t="s">
        <v>380</v>
      </c>
      <c r="I339" s="7" t="s">
        <v>1075</v>
      </c>
      <c r="J339" s="7" t="s">
        <v>358</v>
      </c>
      <c r="K339" s="7" t="s">
        <v>366</v>
      </c>
      <c r="L339" s="7" t="s">
        <v>388</v>
      </c>
      <c r="M339" s="7" t="s">
        <v>132</v>
      </c>
      <c r="N339" s="7" t="s">
        <v>133</v>
      </c>
      <c r="O339" s="7" t="s">
        <v>134</v>
      </c>
      <c r="P339" s="7" t="s">
        <v>361</v>
      </c>
      <c r="Q339" s="7" t="s">
        <v>36</v>
      </c>
      <c r="R339" s="7"/>
      <c r="S339" s="23" t="s">
        <v>1209</v>
      </c>
    </row>
    <row r="340" customFormat="false" ht="15" hidden="false" customHeight="false" outlineLevel="0" collapsed="false">
      <c r="A340" s="19" t="s">
        <v>1210</v>
      </c>
      <c r="B340" s="19" t="s">
        <v>1211</v>
      </c>
      <c r="C340" s="19" t="s">
        <v>29</v>
      </c>
      <c r="D340" s="19" t="s">
        <v>162</v>
      </c>
      <c r="E340" s="20" t="n">
        <v>24000</v>
      </c>
      <c r="F340" s="20" t="n">
        <v>26240000000</v>
      </c>
      <c r="G340" s="21" t="n">
        <f aca="false">IFERROR(E340/F340,"")</f>
        <v>9.14634146341463E-007</v>
      </c>
      <c r="H340" s="19" t="s">
        <v>364</v>
      </c>
      <c r="I340" s="19" t="s">
        <v>494</v>
      </c>
      <c r="J340" s="19" t="s">
        <v>358</v>
      </c>
      <c r="K340" s="19" t="s">
        <v>359</v>
      </c>
      <c r="L340" s="19" t="s">
        <v>360</v>
      </c>
      <c r="M340" s="19"/>
      <c r="N340" s="19" t="s">
        <v>30</v>
      </c>
      <c r="O340" s="19"/>
      <c r="P340" s="19" t="s">
        <v>611</v>
      </c>
      <c r="Q340" s="19" t="s">
        <v>30</v>
      </c>
      <c r="R340" s="19"/>
      <c r="S340" s="22" t="s">
        <v>1212</v>
      </c>
    </row>
    <row r="341" customFormat="false" ht="15" hidden="false" customHeight="false" outlineLevel="0" collapsed="false">
      <c r="A341" s="7" t="s">
        <v>1213</v>
      </c>
      <c r="B341" s="7" t="s">
        <v>38</v>
      </c>
      <c r="C341" s="7" t="s">
        <v>105</v>
      </c>
      <c r="D341" s="7" t="s">
        <v>223</v>
      </c>
      <c r="E341" s="8" t="n">
        <v>1560</v>
      </c>
      <c r="F341" s="8" t="n">
        <v>1878000000</v>
      </c>
      <c r="G341" s="11" t="n">
        <f aca="false">IFERROR(E341/F341,"")</f>
        <v>8.30670926517572E-007</v>
      </c>
      <c r="H341" s="7" t="s">
        <v>364</v>
      </c>
      <c r="I341" s="7" t="s">
        <v>371</v>
      </c>
      <c r="J341" s="7" t="s">
        <v>358</v>
      </c>
      <c r="K341" s="7" t="s">
        <v>372</v>
      </c>
      <c r="L341" s="7" t="s">
        <v>401</v>
      </c>
      <c r="M341" s="7"/>
      <c r="N341" s="7" t="s">
        <v>30</v>
      </c>
      <c r="O341" s="7"/>
      <c r="P341" s="7" t="s">
        <v>361</v>
      </c>
      <c r="Q341" s="7" t="s">
        <v>30</v>
      </c>
      <c r="R341" s="7"/>
      <c r="S341" s="23" t="s">
        <v>1214</v>
      </c>
    </row>
    <row r="342" customFormat="false" ht="15" hidden="false" customHeight="false" outlineLevel="0" collapsed="false">
      <c r="A342" s="19" t="s">
        <v>1215</v>
      </c>
      <c r="B342" s="19" t="s">
        <v>164</v>
      </c>
      <c r="C342" s="19" t="s">
        <v>29</v>
      </c>
      <c r="D342" s="19" t="s">
        <v>162</v>
      </c>
      <c r="E342" s="20" t="n">
        <v>30000</v>
      </c>
      <c r="F342" s="20" t="n">
        <v>40652000000</v>
      </c>
      <c r="G342" s="21" t="n">
        <f aca="false">IFERROR(E342/F342,"")</f>
        <v>7.37971071533996E-007</v>
      </c>
      <c r="H342" s="19" t="s">
        <v>380</v>
      </c>
      <c r="I342" s="19" t="s">
        <v>385</v>
      </c>
      <c r="J342" s="19" t="s">
        <v>386</v>
      </c>
      <c r="K342" s="19" t="s">
        <v>387</v>
      </c>
      <c r="L342" s="19" t="s">
        <v>360</v>
      </c>
      <c r="M342" s="19" t="s">
        <v>132</v>
      </c>
      <c r="N342" s="19" t="s">
        <v>133</v>
      </c>
      <c r="O342" s="19"/>
      <c r="P342" s="19" t="s">
        <v>361</v>
      </c>
      <c r="Q342" s="19" t="s">
        <v>165</v>
      </c>
      <c r="R342" s="19"/>
      <c r="S342" s="22" t="s">
        <v>1216</v>
      </c>
    </row>
    <row r="343" customFormat="false" ht="15" hidden="false" customHeight="false" outlineLevel="0" collapsed="false">
      <c r="A343" s="7" t="s">
        <v>1217</v>
      </c>
      <c r="B343" s="7" t="s">
        <v>1218</v>
      </c>
      <c r="C343" s="7" t="s">
        <v>29</v>
      </c>
      <c r="D343" s="7" t="s">
        <v>223</v>
      </c>
      <c r="E343" s="8" t="n">
        <v>30000</v>
      </c>
      <c r="F343" s="8" t="n">
        <v>40652000000</v>
      </c>
      <c r="G343" s="11" t="n">
        <f aca="false">IFERROR(E343/F343,"")</f>
        <v>7.37971071533996E-007</v>
      </c>
      <c r="H343" s="7" t="s">
        <v>380</v>
      </c>
      <c r="I343" s="7" t="s">
        <v>371</v>
      </c>
      <c r="J343" s="7" t="s">
        <v>358</v>
      </c>
      <c r="K343" s="7" t="s">
        <v>372</v>
      </c>
      <c r="L343" s="7" t="s">
        <v>360</v>
      </c>
      <c r="M343" s="7" t="s">
        <v>132</v>
      </c>
      <c r="N343" s="7" t="s">
        <v>133</v>
      </c>
      <c r="O343" s="7" t="s">
        <v>167</v>
      </c>
      <c r="P343" s="7" t="s">
        <v>361</v>
      </c>
      <c r="Q343" s="7" t="s">
        <v>165</v>
      </c>
      <c r="R343" s="7"/>
      <c r="S343" s="23" t="s">
        <v>1219</v>
      </c>
    </row>
    <row r="344" customFormat="false" ht="15" hidden="false" customHeight="false" outlineLevel="0" collapsed="false">
      <c r="A344" s="19" t="s">
        <v>1220</v>
      </c>
      <c r="B344" s="19" t="s">
        <v>28</v>
      </c>
      <c r="C344" s="19" t="s">
        <v>29</v>
      </c>
      <c r="D344" s="19" t="s">
        <v>162</v>
      </c>
      <c r="E344" s="20" t="n">
        <v>3000</v>
      </c>
      <c r="F344" s="20" t="n">
        <v>4166421000</v>
      </c>
      <c r="G344" s="21" t="n">
        <f aca="false">IFERROR(E344/F344,"")</f>
        <v>7.2004245370307E-007</v>
      </c>
      <c r="H344" s="19" t="s">
        <v>380</v>
      </c>
      <c r="I344" s="19" t="s">
        <v>385</v>
      </c>
      <c r="J344" s="19" t="s">
        <v>386</v>
      </c>
      <c r="K344" s="19" t="s">
        <v>387</v>
      </c>
      <c r="L344" s="19" t="s">
        <v>360</v>
      </c>
      <c r="M344" s="19"/>
      <c r="N344" s="19" t="s">
        <v>30</v>
      </c>
      <c r="O344" s="19"/>
      <c r="P344" s="19" t="s">
        <v>361</v>
      </c>
      <c r="Q344" s="19" t="s">
        <v>30</v>
      </c>
      <c r="R344" s="19"/>
      <c r="S344" s="22" t="s">
        <v>1221</v>
      </c>
    </row>
    <row r="345" customFormat="false" ht="15" hidden="false" customHeight="false" outlineLevel="0" collapsed="false">
      <c r="A345" s="7" t="s">
        <v>1222</v>
      </c>
      <c r="B345" s="7" t="s">
        <v>28</v>
      </c>
      <c r="C345" s="7" t="s">
        <v>29</v>
      </c>
      <c r="D345" s="7" t="s">
        <v>140</v>
      </c>
      <c r="E345" s="8" t="n">
        <v>3000</v>
      </c>
      <c r="F345" s="8" t="n">
        <v>4166421000</v>
      </c>
      <c r="G345" s="11" t="n">
        <f aca="false">IFERROR(E345/F345,"")</f>
        <v>7.2004245370307E-007</v>
      </c>
      <c r="H345" s="7" t="s">
        <v>380</v>
      </c>
      <c r="I345" s="7" t="s">
        <v>385</v>
      </c>
      <c r="J345" s="7" t="s">
        <v>386</v>
      </c>
      <c r="K345" s="7" t="s">
        <v>387</v>
      </c>
      <c r="L345" s="7" t="s">
        <v>360</v>
      </c>
      <c r="M345" s="7"/>
      <c r="N345" s="7" t="s">
        <v>30</v>
      </c>
      <c r="O345" s="7"/>
      <c r="P345" s="7" t="s">
        <v>361</v>
      </c>
      <c r="Q345" s="7" t="s">
        <v>30</v>
      </c>
      <c r="R345" s="7"/>
      <c r="S345" s="23" t="s">
        <v>1223</v>
      </c>
    </row>
    <row r="346" customFormat="false" ht="15" hidden="false" customHeight="false" outlineLevel="0" collapsed="false">
      <c r="A346" s="19" t="s">
        <v>1224</v>
      </c>
      <c r="B346" s="19" t="s">
        <v>143</v>
      </c>
      <c r="C346" s="19" t="s">
        <v>29</v>
      </c>
      <c r="D346" s="19" t="s">
        <v>162</v>
      </c>
      <c r="E346" s="20" t="n">
        <v>24000</v>
      </c>
      <c r="F346" s="20" t="n">
        <v>35075873000</v>
      </c>
      <c r="G346" s="21" t="n">
        <f aca="false">IFERROR(E346/F346,"")</f>
        <v>6.8423100973139E-007</v>
      </c>
      <c r="H346" s="19" t="s">
        <v>356</v>
      </c>
      <c r="I346" s="19" t="s">
        <v>371</v>
      </c>
      <c r="J346" s="19" t="s">
        <v>358</v>
      </c>
      <c r="K346" s="19" t="s">
        <v>372</v>
      </c>
      <c r="L346" s="19" t="s">
        <v>360</v>
      </c>
      <c r="M346" s="19" t="s">
        <v>144</v>
      </c>
      <c r="N346" s="19" t="s">
        <v>145</v>
      </c>
      <c r="O346" s="19"/>
      <c r="P346" s="19" t="s">
        <v>361</v>
      </c>
      <c r="Q346" s="19" t="s">
        <v>36</v>
      </c>
      <c r="R346" s="19"/>
      <c r="S346" s="22" t="s">
        <v>1225</v>
      </c>
    </row>
    <row r="347" customFormat="false" ht="15" hidden="false" customHeight="false" outlineLevel="0" collapsed="false">
      <c r="A347" s="7" t="s">
        <v>1226</v>
      </c>
      <c r="B347" s="7" t="s">
        <v>53</v>
      </c>
      <c r="C347" s="7" t="s">
        <v>49</v>
      </c>
      <c r="D347" s="7" t="s">
        <v>291</v>
      </c>
      <c r="E347" s="8" t="n">
        <v>1000</v>
      </c>
      <c r="F347" s="8" t="n">
        <v>1861000000</v>
      </c>
      <c r="G347" s="11" t="n">
        <f aca="false">IFERROR(E347/F347,"")</f>
        <v>5.37345513164965E-007</v>
      </c>
      <c r="H347" s="7" t="s">
        <v>364</v>
      </c>
      <c r="I347" s="7" t="s">
        <v>1204</v>
      </c>
      <c r="J347" s="7" t="s">
        <v>386</v>
      </c>
      <c r="K347" s="7" t="s">
        <v>400</v>
      </c>
      <c r="L347" s="7" t="s">
        <v>388</v>
      </c>
      <c r="M347" s="7" t="s">
        <v>132</v>
      </c>
      <c r="N347" s="7" t="s">
        <v>135</v>
      </c>
      <c r="O347" s="7" t="s">
        <v>136</v>
      </c>
      <c r="P347" s="7" t="s">
        <v>361</v>
      </c>
      <c r="Q347" s="7" t="s">
        <v>54</v>
      </c>
      <c r="R347" s="7"/>
      <c r="S347" s="23" t="s">
        <v>1227</v>
      </c>
    </row>
    <row r="348" customFormat="false" ht="15" hidden="false" customHeight="false" outlineLevel="0" collapsed="false">
      <c r="A348" s="19" t="s">
        <v>1228</v>
      </c>
      <c r="B348" s="19" t="s">
        <v>38</v>
      </c>
      <c r="C348" s="19" t="s">
        <v>176</v>
      </c>
      <c r="D348" s="19" t="s">
        <v>144</v>
      </c>
      <c r="E348" s="20" t="n">
        <v>500</v>
      </c>
      <c r="F348" s="20" t="n">
        <v>1878000000</v>
      </c>
      <c r="G348" s="21" t="n">
        <f aca="false">IFERROR(E348/F348,"")</f>
        <v>2.66240681576145E-007</v>
      </c>
      <c r="H348" s="19" t="s">
        <v>364</v>
      </c>
      <c r="I348" s="19" t="s">
        <v>494</v>
      </c>
      <c r="J348" s="19" t="s">
        <v>358</v>
      </c>
      <c r="K348" s="19" t="s">
        <v>359</v>
      </c>
      <c r="L348" s="19" t="s">
        <v>1229</v>
      </c>
      <c r="M348" s="19"/>
      <c r="N348" s="19" t="s">
        <v>30</v>
      </c>
      <c r="O348" s="19"/>
      <c r="P348" s="19" t="s">
        <v>361</v>
      </c>
      <c r="Q348" s="19" t="s">
        <v>30</v>
      </c>
      <c r="R348" s="19"/>
      <c r="S348" s="22" t="s">
        <v>1230</v>
      </c>
    </row>
    <row r="349" customFormat="false" ht="15" hidden="false" customHeight="false" outlineLevel="0" collapsed="false">
      <c r="A349" s="7" t="s">
        <v>1231</v>
      </c>
      <c r="B349" s="7" t="s">
        <v>38</v>
      </c>
      <c r="C349" s="7" t="s">
        <v>176</v>
      </c>
      <c r="D349" s="7" t="s">
        <v>223</v>
      </c>
      <c r="E349" s="8" t="n">
        <v>500</v>
      </c>
      <c r="F349" s="8" t="n">
        <v>1878000000</v>
      </c>
      <c r="G349" s="11" t="n">
        <f aca="false">IFERROR(E349/F349,"")</f>
        <v>2.66240681576145E-007</v>
      </c>
      <c r="H349" s="7" t="s">
        <v>364</v>
      </c>
      <c r="I349" s="7" t="s">
        <v>1232</v>
      </c>
      <c r="J349" s="7" t="s">
        <v>358</v>
      </c>
      <c r="K349" s="7" t="s">
        <v>359</v>
      </c>
      <c r="L349" s="7" t="s">
        <v>1229</v>
      </c>
      <c r="M349" s="7"/>
      <c r="N349" s="7" t="s">
        <v>30</v>
      </c>
      <c r="O349" s="7"/>
      <c r="P349" s="7" t="s">
        <v>361</v>
      </c>
      <c r="Q349" s="7" t="s">
        <v>30</v>
      </c>
      <c r="R349" s="7"/>
      <c r="S349" s="23" t="s">
        <v>1233</v>
      </c>
    </row>
    <row r="350" customFormat="false" ht="15" hidden="false" customHeight="false" outlineLevel="0" collapsed="false">
      <c r="A350" s="19" t="s">
        <v>1234</v>
      </c>
      <c r="B350" s="19" t="s">
        <v>168</v>
      </c>
      <c r="C350" s="19" t="s">
        <v>57</v>
      </c>
      <c r="D350" s="19" t="s">
        <v>291</v>
      </c>
      <c r="E350" s="20" t="n">
        <v>10000</v>
      </c>
      <c r="F350" s="20" t="n">
        <v>39757208000</v>
      </c>
      <c r="G350" s="21" t="n">
        <f aca="false">IFERROR(E350/F350,"")</f>
        <v>2.51526716866033E-007</v>
      </c>
      <c r="H350" s="19" t="s">
        <v>676</v>
      </c>
      <c r="I350" s="19" t="s">
        <v>1235</v>
      </c>
      <c r="J350" s="19" t="s">
        <v>386</v>
      </c>
      <c r="K350" s="19" t="s">
        <v>400</v>
      </c>
      <c r="L350" s="19" t="s">
        <v>377</v>
      </c>
      <c r="M350" s="19"/>
      <c r="N350" s="19" t="s">
        <v>30</v>
      </c>
      <c r="O350" s="19"/>
      <c r="P350" s="19" t="s">
        <v>361</v>
      </c>
      <c r="Q350" s="19" t="s">
        <v>30</v>
      </c>
      <c r="R350" s="19"/>
      <c r="S350" s="22" t="s">
        <v>1236</v>
      </c>
    </row>
    <row r="351" customFormat="false" ht="15" hidden="false" customHeight="false" outlineLevel="0" collapsed="false">
      <c r="A351" s="7" t="s">
        <v>1237</v>
      </c>
      <c r="B351" s="7" t="s">
        <v>143</v>
      </c>
      <c r="C351" s="7" t="s">
        <v>29</v>
      </c>
      <c r="D351" s="7" t="s">
        <v>223</v>
      </c>
      <c r="E351" s="8" t="n">
        <v>8000</v>
      </c>
      <c r="F351" s="8" t="n">
        <v>35075873000</v>
      </c>
      <c r="G351" s="11" t="n">
        <f aca="false">IFERROR(E351/F351,"")</f>
        <v>2.28077003243797E-007</v>
      </c>
      <c r="H351" s="7" t="s">
        <v>356</v>
      </c>
      <c r="I351" s="7" t="s">
        <v>964</v>
      </c>
      <c r="J351" s="7" t="s">
        <v>386</v>
      </c>
      <c r="K351" s="7" t="s">
        <v>387</v>
      </c>
      <c r="L351" s="7" t="s">
        <v>360</v>
      </c>
      <c r="M351" s="7" t="s">
        <v>144</v>
      </c>
      <c r="N351" s="7" t="s">
        <v>145</v>
      </c>
      <c r="O351" s="7"/>
      <c r="P351" s="7" t="s">
        <v>361</v>
      </c>
      <c r="Q351" s="7" t="s">
        <v>36</v>
      </c>
      <c r="R351" s="7"/>
      <c r="S351" s="23" t="s">
        <v>1238</v>
      </c>
    </row>
    <row r="352" customFormat="false" ht="15" hidden="false" customHeight="false" outlineLevel="0" collapsed="false">
      <c r="A352" s="19" t="s">
        <v>1239</v>
      </c>
      <c r="B352" s="19" t="s">
        <v>38</v>
      </c>
      <c r="C352" s="19" t="s">
        <v>176</v>
      </c>
      <c r="D352" s="19" t="s">
        <v>140</v>
      </c>
      <c r="E352" s="20" t="n">
        <v>380</v>
      </c>
      <c r="F352" s="20" t="n">
        <v>1878000000</v>
      </c>
      <c r="G352" s="21" t="n">
        <f aca="false">IFERROR(E352/F352,"")</f>
        <v>2.0234291799787E-007</v>
      </c>
      <c r="H352" s="19" t="s">
        <v>364</v>
      </c>
      <c r="I352" s="19" t="s">
        <v>371</v>
      </c>
      <c r="J352" s="19" t="s">
        <v>358</v>
      </c>
      <c r="K352" s="19" t="s">
        <v>372</v>
      </c>
      <c r="L352" s="19" t="s">
        <v>1229</v>
      </c>
      <c r="M352" s="19"/>
      <c r="N352" s="19" t="s">
        <v>30</v>
      </c>
      <c r="O352" s="19"/>
      <c r="P352" s="19" t="s">
        <v>361</v>
      </c>
      <c r="Q352" s="19" t="s">
        <v>30</v>
      </c>
      <c r="R352" s="19"/>
      <c r="S352" s="22" t="s">
        <v>1240</v>
      </c>
    </row>
    <row r="353" customFormat="false" ht="15" hidden="false" customHeight="false" outlineLevel="0" collapsed="false">
      <c r="A353" s="7" t="s">
        <v>1241</v>
      </c>
      <c r="B353" s="7" t="s">
        <v>1242</v>
      </c>
      <c r="C353" s="7" t="s">
        <v>29</v>
      </c>
      <c r="D353" s="7" t="s">
        <v>162</v>
      </c>
      <c r="E353" s="8" t="n">
        <v>6000</v>
      </c>
      <c r="F353" s="8" t="n">
        <v>35075873000</v>
      </c>
      <c r="G353" s="11" t="n">
        <f aca="false">IFERROR(E353/F353,"")</f>
        <v>1.71057752432848E-007</v>
      </c>
      <c r="H353" s="7" t="s">
        <v>356</v>
      </c>
      <c r="I353" s="7" t="s">
        <v>941</v>
      </c>
      <c r="J353" s="7" t="s">
        <v>358</v>
      </c>
      <c r="K353" s="7" t="s">
        <v>366</v>
      </c>
      <c r="L353" s="7" t="s">
        <v>360</v>
      </c>
      <c r="M353" s="7" t="s">
        <v>144</v>
      </c>
      <c r="N353" s="7" t="s">
        <v>145</v>
      </c>
      <c r="O353" s="7" t="s">
        <v>205</v>
      </c>
      <c r="P353" s="7" t="s">
        <v>361</v>
      </c>
      <c r="Q353" s="7" t="s">
        <v>36</v>
      </c>
      <c r="R353" s="7"/>
      <c r="S353" s="23" t="s">
        <v>1243</v>
      </c>
    </row>
    <row r="354" customFormat="false" ht="15" hidden="false" customHeight="false" outlineLevel="0" collapsed="false">
      <c r="A354" s="19" t="s">
        <v>1244</v>
      </c>
      <c r="B354" s="19" t="s">
        <v>143</v>
      </c>
      <c r="C354" s="19" t="s">
        <v>29</v>
      </c>
      <c r="D354" s="19" t="s">
        <v>162</v>
      </c>
      <c r="E354" s="20" t="n">
        <v>4000</v>
      </c>
      <c r="F354" s="20" t="n">
        <v>35075873000</v>
      </c>
      <c r="G354" s="21" t="n">
        <f aca="false">IFERROR(E354/F354,"")</f>
        <v>1.14038501621898E-007</v>
      </c>
      <c r="H354" s="19" t="s">
        <v>356</v>
      </c>
      <c r="I354" s="19" t="s">
        <v>385</v>
      </c>
      <c r="J354" s="19" t="s">
        <v>386</v>
      </c>
      <c r="K354" s="19" t="s">
        <v>387</v>
      </c>
      <c r="L354" s="19" t="s">
        <v>360</v>
      </c>
      <c r="M354" s="19" t="s">
        <v>144</v>
      </c>
      <c r="N354" s="19" t="s">
        <v>145</v>
      </c>
      <c r="O354" s="19"/>
      <c r="P354" s="19" t="s">
        <v>361</v>
      </c>
      <c r="Q354" s="19" t="s">
        <v>36</v>
      </c>
      <c r="R354" s="19"/>
      <c r="S354" s="22" t="s">
        <v>1245</v>
      </c>
    </row>
    <row r="355" customFormat="false" ht="15" hidden="false" customHeight="false" outlineLevel="0" collapsed="false">
      <c r="A355" s="7" t="s">
        <v>1246</v>
      </c>
      <c r="B355" s="7" t="s">
        <v>38</v>
      </c>
      <c r="C355" s="7" t="s">
        <v>185</v>
      </c>
      <c r="D355" s="7" t="s">
        <v>162</v>
      </c>
      <c r="E355" s="8" t="n">
        <v>100</v>
      </c>
      <c r="F355" s="8" t="n">
        <v>1878000000</v>
      </c>
      <c r="G355" s="11" t="n">
        <f aca="false">IFERROR(E355/F355,"")</f>
        <v>5.3248136315229E-008</v>
      </c>
      <c r="H355" s="7" t="s">
        <v>364</v>
      </c>
      <c r="I355" s="7" t="s">
        <v>494</v>
      </c>
      <c r="J355" s="7" t="s">
        <v>358</v>
      </c>
      <c r="K355" s="7" t="s">
        <v>359</v>
      </c>
      <c r="L355" s="7" t="s">
        <v>460</v>
      </c>
      <c r="M355" s="7"/>
      <c r="N355" s="7" t="s">
        <v>30</v>
      </c>
      <c r="O355" s="7"/>
      <c r="P355" s="7" t="s">
        <v>361</v>
      </c>
      <c r="Q355" s="7" t="s">
        <v>30</v>
      </c>
      <c r="R355" s="7"/>
      <c r="S355" s="23" t="s">
        <v>1247</v>
      </c>
    </row>
    <row r="356" customFormat="false" ht="15" hidden="false" customHeight="false" outlineLevel="0" collapsed="false">
      <c r="A356" s="19" t="s">
        <v>1248</v>
      </c>
      <c r="B356" s="19" t="s">
        <v>157</v>
      </c>
      <c r="C356" s="19" t="s">
        <v>49</v>
      </c>
      <c r="D356" s="19" t="s">
        <v>162</v>
      </c>
      <c r="E356" s="20" t="n">
        <v>4000</v>
      </c>
      <c r="F356" s="20" t="n">
        <v>80327000000</v>
      </c>
      <c r="G356" s="21" t="n">
        <f aca="false">IFERROR(E356/F356,"")</f>
        <v>4.97964569820857E-008</v>
      </c>
      <c r="H356" s="19" t="s">
        <v>356</v>
      </c>
      <c r="I356" s="19" t="s">
        <v>414</v>
      </c>
      <c r="J356" s="19" t="s">
        <v>386</v>
      </c>
      <c r="K356" s="19" t="s">
        <v>400</v>
      </c>
      <c r="L356" s="19" t="s">
        <v>388</v>
      </c>
      <c r="M356" s="19"/>
      <c r="N356" s="19" t="s">
        <v>30</v>
      </c>
      <c r="O356" s="19"/>
      <c r="P356" s="19" t="s">
        <v>361</v>
      </c>
      <c r="Q356" s="19" t="s">
        <v>30</v>
      </c>
      <c r="R356" s="19"/>
      <c r="S356" s="22" t="s">
        <v>1249</v>
      </c>
    </row>
    <row r="357" customFormat="false" ht="15" hidden="false" customHeight="false" outlineLevel="0" collapsed="false">
      <c r="A357" s="7" t="s">
        <v>1250</v>
      </c>
      <c r="B357" s="7" t="s">
        <v>157</v>
      </c>
      <c r="C357" s="7" t="s">
        <v>49</v>
      </c>
      <c r="D357" s="7" t="s">
        <v>162</v>
      </c>
      <c r="E357" s="8" t="n">
        <v>3000</v>
      </c>
      <c r="F357" s="8" t="n">
        <v>80327000000</v>
      </c>
      <c r="G357" s="11" t="n">
        <f aca="false">IFERROR(E357/F357,"")</f>
        <v>3.73473427365643E-008</v>
      </c>
      <c r="H357" s="7" t="s">
        <v>356</v>
      </c>
      <c r="I357" s="7" t="s">
        <v>414</v>
      </c>
      <c r="J357" s="7" t="s">
        <v>386</v>
      </c>
      <c r="K357" s="7" t="s">
        <v>400</v>
      </c>
      <c r="L357" s="7" t="s">
        <v>388</v>
      </c>
      <c r="M357" s="7"/>
      <c r="N357" s="7" t="s">
        <v>30</v>
      </c>
      <c r="O357" s="7"/>
      <c r="P357" s="7" t="s">
        <v>361</v>
      </c>
      <c r="Q357" s="7" t="s">
        <v>30</v>
      </c>
      <c r="R357" s="7"/>
      <c r="S357" s="23" t="s">
        <v>1251</v>
      </c>
    </row>
    <row r="358" customFormat="false" ht="15" hidden="false" customHeight="false" outlineLevel="0" collapsed="false">
      <c r="A358" s="19" t="s">
        <v>1252</v>
      </c>
      <c r="B358" s="19" t="s">
        <v>149</v>
      </c>
      <c r="C358" s="19" t="s">
        <v>105</v>
      </c>
      <c r="D358" s="19" t="s">
        <v>162</v>
      </c>
      <c r="E358" s="20" t="n">
        <v>28</v>
      </c>
      <c r="F358" s="20" t="n">
        <v>48400000000</v>
      </c>
      <c r="G358" s="21" t="n">
        <f aca="false">IFERROR(E358/F358,"")</f>
        <v>5.78512396694215E-010</v>
      </c>
      <c r="H358" s="19" t="s">
        <v>380</v>
      </c>
      <c r="I358" s="19" t="s">
        <v>365</v>
      </c>
      <c r="J358" s="19" t="s">
        <v>358</v>
      </c>
      <c r="K358" s="19" t="s">
        <v>366</v>
      </c>
      <c r="L358" s="19" t="s">
        <v>401</v>
      </c>
      <c r="M358" s="19"/>
      <c r="N358" s="19" t="s">
        <v>30</v>
      </c>
      <c r="O358" s="19"/>
      <c r="P358" s="19" t="s">
        <v>361</v>
      </c>
      <c r="Q358" s="19" t="s">
        <v>30</v>
      </c>
      <c r="R358" s="19"/>
      <c r="S358" s="22" t="s">
        <v>1253</v>
      </c>
    </row>
  </sheetData>
  <autoFilter ref="A1:S358"/>
  <hyperlinks>
    <hyperlink ref="S2" r:id="rId1" display="https://www.enforcementtracker.com/ETid-1073"/>
    <hyperlink ref="S3" r:id="rId2" display="https://www.enforcementtracker.com/ETid-1565"/>
    <hyperlink ref="S4" r:id="rId3" display="https://www.enforcementtracker.com/ETid-22"/>
    <hyperlink ref="S5" r:id="rId4" display="https://www.enforcementtracker.com/ETid-790"/>
    <hyperlink ref="S6" r:id="rId5" display="https://www.enforcementtracker.com/ETid-950"/>
    <hyperlink ref="S7" r:id="rId6" display="https://www.enforcementtracker.com/ETid-1145"/>
    <hyperlink ref="S8" r:id="rId7" display="https://www.enforcementtracker.com/ETid-412"/>
    <hyperlink ref="S9" r:id="rId8" display="https://www.enforcementtracker.com/ETid-743"/>
    <hyperlink ref="S10" r:id="rId9" display="https://www.enforcementtracker.com/ETid-334"/>
    <hyperlink ref="S11" r:id="rId10" display="https://www.enforcementtracker.com/ETid-494"/>
    <hyperlink ref="S12" r:id="rId11" display="https://www.enforcementtracker.com/ETid-40"/>
    <hyperlink ref="S13" r:id="rId12" display="https://www.enforcementtracker.com/ETid-3232"/>
    <hyperlink ref="S14" r:id="rId13" display="https://www.enforcementtracker.com/ETid-62"/>
    <hyperlink ref="S15" r:id="rId14" display="https://www.enforcementtracker.com/ETid-2584"/>
    <hyperlink ref="S16" r:id="rId15" display="https://www.enforcementtracker.com/ETid-483"/>
    <hyperlink ref="S17" r:id="rId16" display="https://www.enforcementtracker.com/ETid-2469"/>
    <hyperlink ref="S18" r:id="rId17" display="https://www.enforcementtracker.com/ETid-734"/>
    <hyperlink ref="S19" r:id="rId18" display="https://www.enforcementtracker.com/ETid-1160"/>
    <hyperlink ref="S20" r:id="rId19" display="https://www.enforcementtracker.com/ETid-118"/>
    <hyperlink ref="S21" r:id="rId20" display="https://www.enforcementtracker.com/ETid-64"/>
    <hyperlink ref="S22" r:id="rId21" display="https://www.enforcementtracker.com/ETid-24"/>
    <hyperlink ref="S23" r:id="rId22" display="https://www.enforcementtracker.com/ETid-511"/>
    <hyperlink ref="S24" r:id="rId23" display="https://www.enforcementtracker.com/ETid-2032"/>
    <hyperlink ref="S25" r:id="rId24" display="https://www.enforcementtracker.com/ETid-21"/>
    <hyperlink ref="S26" r:id="rId25" display="https://www.enforcementtracker.com/ETid-2225"/>
    <hyperlink ref="S27" r:id="rId26" display="https://www.enforcementtracker.com/ETid-792"/>
    <hyperlink ref="S28" r:id="rId27" display="https://www.enforcementtracker.com/ETid-2506"/>
    <hyperlink ref="S29" r:id="rId28" display="https://www.enforcementtracker.com/ETid-609"/>
    <hyperlink ref="S30" r:id="rId29" display="https://www.enforcementtracker.com/ETid-440"/>
    <hyperlink ref="S31" r:id="rId30" display="https://www.enforcementtracker.com/ETid-1785"/>
    <hyperlink ref="S32" r:id="rId31" display="https://www.enforcementtracker.com/ETid-771"/>
    <hyperlink ref="S33" r:id="rId32" display="https://www.enforcementtracker.com/ETid-2447"/>
    <hyperlink ref="S34" r:id="rId33" display="https://www.enforcementtracker.com/ETid-532"/>
    <hyperlink ref="S35" r:id="rId34" display="https://www.enforcementtracker.com/ETid-473"/>
    <hyperlink ref="S36" r:id="rId35" display="https://www.enforcementtracker.com/ETid-620"/>
    <hyperlink ref="S37" r:id="rId36" display="https://www.enforcementtracker.com/ETid-96"/>
    <hyperlink ref="S38" r:id="rId37" display="https://www.enforcementtracker.com/ETid-344"/>
    <hyperlink ref="S39" r:id="rId38" display="https://www.enforcementtracker.com/ETid-25"/>
    <hyperlink ref="S40" r:id="rId39" display="https://www.enforcementtracker.com/ETid-79"/>
    <hyperlink ref="S41" r:id="rId40" display="https://www.enforcementtracker.com/ETid-665"/>
    <hyperlink ref="S42" r:id="rId41" display="https://www.enforcementtracker.com/ETid-820"/>
    <hyperlink ref="S43" r:id="rId42" display="https://www.enforcementtracker.com/ETid-58"/>
    <hyperlink ref="S44" r:id="rId43" display="https://www.enforcementtracker.com/ETid-871"/>
    <hyperlink ref="S45" r:id="rId44" display="https://www.enforcementtracker.com/ETid-336"/>
    <hyperlink ref="S46" r:id="rId45" display="https://www.enforcementtracker.com/ETid-884"/>
    <hyperlink ref="S47" r:id="rId46" display="https://www.enforcementtracker.com/ETid-2993"/>
    <hyperlink ref="S48" r:id="rId47" display="https://www.enforcementtracker.com/ETid-405"/>
    <hyperlink ref="S49" r:id="rId48" display="https://www.enforcementtracker.com/ETid-361"/>
    <hyperlink ref="S50" r:id="rId49" display="https://www.enforcementtracker.com/ETid-1678"/>
    <hyperlink ref="S51" r:id="rId50" display="https://www.enforcementtracker.com/ETid-2863"/>
    <hyperlink ref="S52" r:id="rId51" display="https://www.enforcementtracker.com/ETid-60"/>
    <hyperlink ref="S53" r:id="rId52" display="https://www.enforcementtracker.com/ETid-1656"/>
    <hyperlink ref="S54" r:id="rId53" display="https://www.enforcementtracker.com/ETid-872"/>
    <hyperlink ref="S55" r:id="rId54" display="https://www.enforcementtracker.com/ETid-438"/>
    <hyperlink ref="S56" r:id="rId55" display="https://www.enforcementtracker.com/ETid-594"/>
    <hyperlink ref="S57" r:id="rId56" display="https://www.enforcementtracker.com/ETid-520"/>
    <hyperlink ref="S58" r:id="rId57" display="https://www.enforcementtracker.com/ETid-306"/>
    <hyperlink ref="S59" r:id="rId58" display="https://www.enforcementtracker.com/ETid-1024"/>
    <hyperlink ref="S60" r:id="rId59" display="https://www.enforcementtracker.com/ETid-313"/>
    <hyperlink ref="S61" r:id="rId60" display="https://www.enforcementtracker.com/ETid-509"/>
    <hyperlink ref="S62" r:id="rId61" display="https://www.enforcementtracker.com/ETid-2540"/>
    <hyperlink ref="S63" r:id="rId62" display="https://www.enforcementtracker.com/ETid-2994"/>
    <hyperlink ref="S64" r:id="rId63" display="https://www.enforcementtracker.com/ETid-204"/>
    <hyperlink ref="S65" r:id="rId64" display="https://www.enforcementtracker.com/ETid-189"/>
    <hyperlink ref="S66" r:id="rId65" display="https://www.enforcementtracker.com/ETid-980"/>
    <hyperlink ref="S67" r:id="rId66" display="https://www.enforcementtracker.com/ETid-1436"/>
    <hyperlink ref="S68" r:id="rId67" display="https://www.enforcementtracker.com/ETid-979"/>
    <hyperlink ref="S69" r:id="rId68" display="https://www.enforcementtracker.com/ETid-113"/>
    <hyperlink ref="S70" r:id="rId69" display="https://www.enforcementtracker.com/ETid-2862"/>
    <hyperlink ref="S71" r:id="rId70" display="https://www.enforcementtracker.com/ETid-1055"/>
    <hyperlink ref="S72" r:id="rId71" display="https://www.enforcementtracker.com/ETid-72"/>
    <hyperlink ref="S73" r:id="rId72" display="https://www.enforcementtracker.com/ETid-877"/>
    <hyperlink ref="S74" r:id="rId73" display="https://www.enforcementtracker.com/ETid-2077"/>
    <hyperlink ref="S75" r:id="rId74" display="https://www.enforcementtracker.com/ETid-670"/>
    <hyperlink ref="S76" r:id="rId75" display="https://www.enforcementtracker.com/ETid-1025"/>
    <hyperlink ref="S77" r:id="rId76" display="https://www.enforcementtracker.com/ETid-519"/>
    <hyperlink ref="S78" r:id="rId77" display="https://www.enforcementtracker.com/ETid-3102"/>
    <hyperlink ref="S79" r:id="rId78" display="https://www.enforcementtracker.com/ETid-107"/>
    <hyperlink ref="S80" r:id="rId79" display="https://www.enforcementtracker.com/ETid-737"/>
    <hyperlink ref="S81" r:id="rId80" display="https://www.enforcementtracker.com/ETid-1730"/>
    <hyperlink ref="S82" r:id="rId81" display="https://www.enforcementtracker.com/ETid-978"/>
    <hyperlink ref="S83" r:id="rId82" display="https://www.enforcementtracker.com/ETid-1112"/>
    <hyperlink ref="S84" r:id="rId83" display="https://www.enforcementtracker.com/ETid-2878"/>
    <hyperlink ref="S85" r:id="rId84" display="https://www.enforcementtracker.com/ETid-2216"/>
    <hyperlink ref="S86" r:id="rId85" display="https://www.enforcementtracker.com/ETid-1876"/>
    <hyperlink ref="S87" r:id="rId86" display="https://www.enforcementtracker.com/ETid-1505"/>
    <hyperlink ref="S88" r:id="rId87" display="https://www.enforcementtracker.com/ETid-2192"/>
    <hyperlink ref="S89" r:id="rId88" display="https://www.enforcementtracker.com/ETid-751"/>
    <hyperlink ref="S90" r:id="rId89" display="https://www.enforcementtracker.com/ETid-23"/>
    <hyperlink ref="S91" r:id="rId90" display="https://www.enforcementtracker.com/ETid-1254"/>
    <hyperlink ref="S92" r:id="rId91" display="https://www.enforcementtracker.com/ETid-331"/>
    <hyperlink ref="S93" r:id="rId92" display="https://www.enforcementtracker.com/ETid-2199"/>
    <hyperlink ref="S94" r:id="rId93" display="https://www.enforcementtracker.com/ETid-1871"/>
    <hyperlink ref="S95" r:id="rId94" display="https://www.enforcementtracker.com/ETid-1089"/>
    <hyperlink ref="S96" r:id="rId95" display="https://www.enforcementtracker.com/ETid-2526"/>
    <hyperlink ref="S97" r:id="rId96" display="https://www.enforcementtracker.com/ETid-2562"/>
    <hyperlink ref="S98" r:id="rId97" display="https://www.enforcementtracker.com/ETid-128"/>
    <hyperlink ref="S99" r:id="rId98" display="https://www.enforcementtracker.com/ETid-2214"/>
    <hyperlink ref="S100" r:id="rId99" display="https://www.enforcementtracker.com/ETid-2023"/>
    <hyperlink ref="S101" r:id="rId100" display="https://www.enforcementtracker.com/ETid-1829"/>
    <hyperlink ref="S102" r:id="rId101" display="https://www.enforcementtracker.com/ETid-3267"/>
    <hyperlink ref="S103" r:id="rId102" display="https://www.enforcementtracker.com/ETid-1736"/>
    <hyperlink ref="S104" r:id="rId103" display="https://www.enforcementtracker.com/ETid-71"/>
    <hyperlink ref="S105" r:id="rId104" display="https://www.enforcementtracker.com/ETid-481"/>
    <hyperlink ref="S106" r:id="rId105" display="https://www.enforcementtracker.com/ETid-2507"/>
    <hyperlink ref="S107" r:id="rId106" display="https://www.enforcementtracker.com/ETid-2227"/>
    <hyperlink ref="S108" r:id="rId107" display="https://www.enforcementtracker.com/ETid-485"/>
    <hyperlink ref="S109" r:id="rId108" display="https://www.enforcementtracker.com/ETid-1856"/>
    <hyperlink ref="S110" r:id="rId109" display="https://www.enforcementtracker.com/ETid-522"/>
    <hyperlink ref="S111" r:id="rId110" display="https://www.enforcementtracker.com/ETid-15"/>
    <hyperlink ref="S112" r:id="rId111" display="https://www.enforcementtracker.com/ETid-1058"/>
    <hyperlink ref="S113" r:id="rId112" display="https://www.enforcementtracker.com/ETid-2189"/>
    <hyperlink ref="S114" r:id="rId113" display="https://www.enforcementtracker.com/ETid-1578"/>
    <hyperlink ref="S115" r:id="rId114" display="https://www.enforcementtracker.com/ETid-186"/>
    <hyperlink ref="S116" r:id="rId115" display="https://www.enforcementtracker.com/ETid-1361"/>
    <hyperlink ref="S117" r:id="rId116" display="https://www.enforcementtracker.com/ETid-554"/>
    <hyperlink ref="S118" r:id="rId117" display="https://www.enforcementtracker.com/ETid-2278"/>
    <hyperlink ref="S119" r:id="rId118" display="https://www.enforcementtracker.com/ETid-489"/>
    <hyperlink ref="S120" r:id="rId119" display="https://www.enforcementtracker.com/ETid-671"/>
    <hyperlink ref="S121" r:id="rId120" display="https://www.enforcementtracker.com/ETid-988"/>
    <hyperlink ref="S122" r:id="rId121" display="https://www.enforcementtracker.com/ETid-504"/>
    <hyperlink ref="S123" r:id="rId122" display="https://www.enforcementtracker.com/ETid-2682"/>
    <hyperlink ref="S124" r:id="rId123" display="https://www.enforcementtracker.com/ETid-694"/>
    <hyperlink ref="S125" r:id="rId124" display="https://www.enforcementtracker.com/ETid-777"/>
    <hyperlink ref="S126" r:id="rId125" display="https://www.enforcementtracker.com/ETid-578"/>
    <hyperlink ref="S127" r:id="rId126" display="https://www.enforcementtracker.com/ETid-2295"/>
    <hyperlink ref="S128" r:id="rId127" display="https://www.enforcementtracker.com/ETid-570"/>
    <hyperlink ref="S129" r:id="rId128" display="https://www.enforcementtracker.com/ETid-772"/>
    <hyperlink ref="S130" r:id="rId129" display="https://www.enforcementtracker.com/ETid-1702"/>
    <hyperlink ref="S131" r:id="rId130" display="https://www.enforcementtracker.com/ETid-1845"/>
    <hyperlink ref="S132" r:id="rId131" display="https://www.enforcementtracker.com/ETid-278"/>
    <hyperlink ref="S133" r:id="rId132" display="https://www.enforcementtracker.com/ETid-1921"/>
    <hyperlink ref="S134" r:id="rId133" display="https://www.enforcementtracker.com/ETid-115"/>
    <hyperlink ref="S135" r:id="rId134" display="https://www.enforcementtracker.com/ETid-1495"/>
    <hyperlink ref="S136" r:id="rId135" display="https://www.enforcementtracker.com/ETid-125"/>
    <hyperlink ref="S138" r:id="rId136" display="https://www.enforcementtracker.com/ETid-279"/>
    <hyperlink ref="S139" r:id="rId137" display="https://www.enforcementtracker.com/ETid-593"/>
    <hyperlink ref="S140" r:id="rId138" display="https://www.enforcementtracker.com/ETid-1176"/>
    <hyperlink ref="S141" r:id="rId139" display="https://www.enforcementtracker.com/ETid-846"/>
    <hyperlink ref="S142" r:id="rId140" display="https://www.enforcementtracker.com/ETid-85"/>
    <hyperlink ref="S143" r:id="rId141" display="https://www.enforcementtracker.com/ETid-294"/>
    <hyperlink ref="S144" r:id="rId142" display="https://www.enforcementtracker.com/ETid-2072"/>
    <hyperlink ref="S145" r:id="rId143" display="https://www.enforcementtracker.com/ETid-365"/>
    <hyperlink ref="S146" r:id="rId144" display="https://www.enforcementtracker.com/ETid-396"/>
    <hyperlink ref="S147" r:id="rId145" display="https://www.enforcementtracker.com/ETid-1922"/>
    <hyperlink ref="S149" r:id="rId146" display="https://www.enforcementtracker.com/ETid-1860"/>
    <hyperlink ref="S150" r:id="rId147" display="https://www.enforcementtracker.com/ETid-311"/>
    <hyperlink ref="S151" r:id="rId148" display="https://www.enforcementtracker.com/ETid-2564"/>
    <hyperlink ref="S152" r:id="rId149" display="https://www.enforcementtracker.com/ETid-2565"/>
    <hyperlink ref="S153" r:id="rId150" display="https://www.enforcementtracker.com/ETid-350"/>
    <hyperlink ref="S154" r:id="rId151" display="https://www.enforcementtracker.com/ETid-2489"/>
    <hyperlink ref="S155" r:id="rId152" display="https://www.enforcementtracker.com/ETid-2490"/>
    <hyperlink ref="S156" r:id="rId153" display="https://www.enforcementtracker.com/ETid-2263"/>
    <hyperlink ref="S157" r:id="rId154" display="https://www.enforcementtracker.com/ETid-2293"/>
    <hyperlink ref="S158" r:id="rId155" display="https://www.enforcementtracker.com/ETid-2294"/>
    <hyperlink ref="S159" r:id="rId156" display="https://www.enforcementtracker.com/ETid-2329"/>
    <hyperlink ref="S160" r:id="rId157" display="https://www.enforcementtracker.com/ETid-2402"/>
    <hyperlink ref="S161" r:id="rId158" display="https://www.enforcementtracker.com/ETid-174"/>
    <hyperlink ref="S162" r:id="rId159" display="https://www.enforcementtracker.com/ETid-187"/>
    <hyperlink ref="S163" r:id="rId160" display="https://www.enforcementtracker.com/ETid-382"/>
    <hyperlink ref="S164" r:id="rId161" display="https://www.enforcementtracker.com/ETid-119"/>
    <hyperlink ref="S165" r:id="rId162" display="https://www.enforcementtracker.com/ETid-192"/>
    <hyperlink ref="S166" r:id="rId163" display="https://www.enforcementtracker.com/ETid-408"/>
    <hyperlink ref="S167" r:id="rId164" display="https://www.enforcementtracker.com/ETid-93"/>
    <hyperlink ref="S168" r:id="rId165" display="https://www.enforcementtracker.com/ETid-320"/>
    <hyperlink ref="S169" r:id="rId166" display="https://www.enforcementtracker.com/ETid-2091"/>
    <hyperlink ref="S170" r:id="rId167" display="https://www.enforcementtracker.com/ETid-994"/>
    <hyperlink ref="S171" r:id="rId168" display="https://www.enforcementtracker.com/ETid-1440"/>
    <hyperlink ref="S172" r:id="rId169" display="https://www.enforcementtracker.com/ETid-84"/>
    <hyperlink ref="S173" r:id="rId170" display="https://www.enforcementtracker.com/ETid-1767"/>
    <hyperlink ref="S174" r:id="rId171" display="https://www.enforcementtracker.com/ETid-908"/>
    <hyperlink ref="S175" r:id="rId172" display="https://www.enforcementtracker.com/ETid-914"/>
    <hyperlink ref="S176" r:id="rId173" display="https://www.enforcementtracker.com/ETid-1775"/>
    <hyperlink ref="S177" r:id="rId174" display="https://www.enforcementtracker.com/ETid-888"/>
    <hyperlink ref="S178" r:id="rId175" display="https://www.enforcementtracker.com/ETid-889"/>
    <hyperlink ref="S179" r:id="rId176" display="https://www.enforcementtracker.com/ETid-343"/>
    <hyperlink ref="S180" r:id="rId177" display="https://www.enforcementtracker.com/ETid-1503"/>
    <hyperlink ref="S181" r:id="rId178" display="https://www.enforcementtracker.com/ETid-612"/>
    <hyperlink ref="S182" r:id="rId179" display="https://www.enforcementtracker.com/ETid-559"/>
    <hyperlink ref="S183" r:id="rId180" display="https://www.enforcementtracker.com/ETid-131"/>
    <hyperlink ref="S184" r:id="rId181" display="https://www.enforcementtracker.com/ETid-341"/>
    <hyperlink ref="S185" r:id="rId182" display="https://www.enforcementtracker.com/ETid-232"/>
    <hyperlink ref="S186" r:id="rId183" display="https://www.enforcementtracker.com/ETid-1695"/>
    <hyperlink ref="S187" r:id="rId184" display="https://www.enforcementtracker.com/ETid-770"/>
    <hyperlink ref="S188" r:id="rId185" display="https://www.enforcementtracker.com/ETid-972"/>
    <hyperlink ref="S189" r:id="rId186" display="https://www.enforcementtracker.com/ETid-1527"/>
    <hyperlink ref="S190" r:id="rId187" display="https://www.enforcementtracker.com/ETid-188"/>
    <hyperlink ref="S191" r:id="rId188" display="https://www.enforcementtracker.com/ETid-2508"/>
    <hyperlink ref="S192" r:id="rId189" display="https://www.enforcementtracker.com/ETid-457"/>
    <hyperlink ref="S193" r:id="rId190" display="https://www.enforcementtracker.com/ETid-3201"/>
    <hyperlink ref="S194" r:id="rId191" display="https://www.enforcementtracker.com/ETid-214"/>
    <hyperlink ref="S195" r:id="rId192" display="https://www.enforcementtracker.com/ETid-3106"/>
    <hyperlink ref="S196" r:id="rId193" display="https://www.enforcementtracker.com/ETid-905"/>
    <hyperlink ref="S197" r:id="rId194" display="https://www.enforcementtracker.com/ETid-477"/>
    <hyperlink ref="S198" r:id="rId195" display="https://www.enforcementtracker.com/ETid-2536"/>
    <hyperlink ref="S199" r:id="rId196" display="https://www.enforcementtracker.com/ETid-2286"/>
    <hyperlink ref="S200" r:id="rId197" display="https://www.enforcementtracker.com/ETid-1773"/>
    <hyperlink ref="S201" r:id="rId198" display="https://www.enforcementtracker.com/ETid-289"/>
    <hyperlink ref="S202" r:id="rId199" display="https://www.enforcementtracker.com/ETid-1520"/>
    <hyperlink ref="S203" r:id="rId200" display="https://www.enforcementtracker.com/ETid-2272"/>
    <hyperlink ref="S204" r:id="rId201" display="https://www.enforcementtracker.com/ETid-1584"/>
    <hyperlink ref="S205" r:id="rId202" display="https://www.enforcementtracker.com/ETid-2154"/>
    <hyperlink ref="S206" r:id="rId203" display="https://www.enforcementtracker.com/ETid-811"/>
    <hyperlink ref="S207" r:id="rId204" display="https://www.enforcementtracker.com/ETid-636"/>
    <hyperlink ref="S208" r:id="rId205" display="https://www.enforcementtracker.com/ETid-211"/>
    <hyperlink ref="S209" r:id="rId206" display="https://www.enforcementtracker.com/ETid-668"/>
    <hyperlink ref="S210" r:id="rId207" display="https://www.enforcementtracker.com/ETid-78"/>
    <hyperlink ref="S211" r:id="rId208" display="https://www.enforcementtracker.com/ETid-2026"/>
    <hyperlink ref="S212" r:id="rId209" display="https://www.enforcementtracker.com/ETid-759"/>
    <hyperlink ref="S213" r:id="rId210" display="https://www.enforcementtracker.com/ETid-193"/>
    <hyperlink ref="S214" r:id="rId211" display="https://www.enforcementtracker.com/ETid-197"/>
    <hyperlink ref="S215" r:id="rId212" display="https://www.enforcementtracker.com/ETid-263"/>
    <hyperlink ref="S216" r:id="rId213" display="https://www.enforcementtracker.com/ETid-2728"/>
    <hyperlink ref="S217" r:id="rId214" display="https://www.enforcementtracker.com/ETid-879"/>
    <hyperlink ref="S218" r:id="rId215" display="https://www.enforcementtracker.com/ETid-541"/>
    <hyperlink ref="S219" r:id="rId216" display="https://www.enforcementtracker.com/ETid-360"/>
    <hyperlink ref="S220" r:id="rId217" display="https://www.enforcementtracker.com/ETid-886"/>
    <hyperlink ref="S221" r:id="rId218" display="https://www.enforcementtracker.com/ETid-606"/>
    <hyperlink ref="S222" r:id="rId219" display="https://www.enforcementtracker.com/ETid-152"/>
    <hyperlink ref="S223" r:id="rId220" display="https://www.enforcementtracker.com/ETid-153"/>
    <hyperlink ref="S224" r:id="rId221" display="https://www.enforcementtracker.com/ETid-194"/>
    <hyperlink ref="S225" r:id="rId222" display="https://www.enforcementtracker.com/ETid-225"/>
    <hyperlink ref="S226" r:id="rId223" display="https://www.enforcementtracker.com/ETid-605"/>
    <hyperlink ref="S227" r:id="rId224" display="https://www.enforcementtracker.com/ETid-2503"/>
    <hyperlink ref="S228" r:id="rId225" display="https://www.enforcementtracker.com/ETid-439"/>
    <hyperlink ref="S229" r:id="rId226" display="https://www.enforcementtracker.com/ETid-1878"/>
    <hyperlink ref="S230" r:id="rId227" display="https://www.enforcementtracker.com/ETid-2134"/>
    <hyperlink ref="S231" r:id="rId228" display="https://www.enforcementtracker.com/ETid-997"/>
    <hyperlink ref="S232" r:id="rId229" display="https://www.enforcementtracker.com/ETid-1260"/>
    <hyperlink ref="S233" r:id="rId230" display="https://www.enforcementtracker.com/ETid-1480"/>
    <hyperlink ref="S234" r:id="rId231" display="https://www.enforcementtracker.com/ETid-1525"/>
    <hyperlink ref="S235" r:id="rId232" display="https://www.enforcementtracker.com/ETid-1529"/>
    <hyperlink ref="S236" r:id="rId233" display="https://www.enforcementtracker.com/ETid-1530"/>
    <hyperlink ref="S237" r:id="rId234" display="https://www.enforcementtracker.com/ETid-1572"/>
    <hyperlink ref="S238" r:id="rId235" display="https://www.enforcementtracker.com/ETid-1903"/>
    <hyperlink ref="S239" r:id="rId236" display="https://www.enforcementtracker.com/ETid-1984"/>
    <hyperlink ref="S240" r:id="rId237" display="https://www.enforcementtracker.com/ETid-1985"/>
    <hyperlink ref="S241" r:id="rId238" display="https://www.enforcementtracker.com/ETid-849"/>
    <hyperlink ref="S242" r:id="rId239" display="https://www.enforcementtracker.com/ETid-850"/>
    <hyperlink ref="S243" r:id="rId240" display="https://www.enforcementtracker.com/ETid-852"/>
    <hyperlink ref="S244" r:id="rId241" display="https://www.enforcementtracker.com/ETid-853"/>
    <hyperlink ref="S245" r:id="rId242" display="https://www.enforcementtracker.com/ETid-506"/>
    <hyperlink ref="S246" r:id="rId243" display="https://www.enforcementtracker.com/ETid-195"/>
    <hyperlink ref="S247" r:id="rId244" display="https://www.enforcementtracker.com/ETid-340"/>
    <hyperlink ref="S248" r:id="rId245" display="https://www.enforcementtracker.com/ETid-1455"/>
    <hyperlink ref="S249" r:id="rId246" display="https://www.enforcementtracker.com/ETid-1766"/>
    <hyperlink ref="S250" r:id="rId247" display="https://www.enforcementtracker.com/ETid-171"/>
    <hyperlink ref="S251" r:id="rId248" display="https://www.enforcementtracker.com/ETid-2124"/>
    <hyperlink ref="S252" r:id="rId249" display="https://www.enforcementtracker.com/ETid-613"/>
    <hyperlink ref="S253" r:id="rId250" display="https://www.enforcementtracker.com/ETid-1179"/>
    <hyperlink ref="S254" r:id="rId251" display="https://www.enforcementtracker.com/ETid-444"/>
    <hyperlink ref="S255" r:id="rId252" display="https://www.enforcementtracker.com/ETid-446"/>
    <hyperlink ref="S256" r:id="rId253" display="https://www.enforcementtracker.com/ETid-776"/>
    <hyperlink ref="S257" r:id="rId254" display="https://www.enforcementtracker.com/ETid-222"/>
    <hyperlink ref="S258" r:id="rId255" display="https://www.enforcementtracker.com/ETid-845"/>
    <hyperlink ref="S259" r:id="rId256" display="https://www.enforcementtracker.com/ETid-870"/>
    <hyperlink ref="S260" r:id="rId257" display="https://www.enforcementtracker.com/ETid-881"/>
    <hyperlink ref="S261" r:id="rId258" display="https://www.enforcementtracker.com/ETid-935"/>
    <hyperlink ref="S262" r:id="rId259" display="https://www.enforcementtracker.com/ETid-936"/>
    <hyperlink ref="S263" r:id="rId260" display="https://www.enforcementtracker.com/ETid-135"/>
    <hyperlink ref="S264" r:id="rId261" display="https://www.enforcementtracker.com/ETid-1765"/>
    <hyperlink ref="S265" r:id="rId262" display="https://www.enforcementtracker.com/ETid-3148"/>
    <hyperlink ref="S266" r:id="rId263" display="https://www.enforcementtracker.com/ETid-100"/>
    <hyperlink ref="S267" r:id="rId264" display="https://www.enforcementtracker.com/ETid-431"/>
    <hyperlink ref="S268" r:id="rId265" display="https://www.enforcementtracker.com/ETid-437"/>
    <hyperlink ref="S269" r:id="rId266" display="https://www.enforcementtracker.com/ETid-210"/>
    <hyperlink ref="S270" r:id="rId267" display="https://www.enforcementtracker.com/ETid-221"/>
    <hyperlink ref="S271" r:id="rId268" display="https://www.enforcementtracker.com/ETid-272"/>
    <hyperlink ref="S272" r:id="rId269" display="https://www.enforcementtracker.com/ETid-1789"/>
    <hyperlink ref="S273" r:id="rId270" display="https://www.enforcementtracker.com/ETid-1456"/>
    <hyperlink ref="S274" r:id="rId271" display="https://www.enforcementtracker.com/ETid-435"/>
    <hyperlink ref="S275" r:id="rId272" display="https://www.enforcementtracker.com/ETid-1457"/>
    <hyperlink ref="S276" r:id="rId273" display="https://www.enforcementtracker.com/ETid-2407"/>
    <hyperlink ref="S277" r:id="rId274" display="https://www.enforcementtracker.com/ETid-275"/>
    <hyperlink ref="S279" r:id="rId275" display="https://www.enforcementtracker.com/ETid-1168"/>
    <hyperlink ref="S280" r:id="rId276" display="https://www.enforcementtracker.com/ETid-976"/>
    <hyperlink ref="S281" r:id="rId277" display="https://www.enforcementtracker.com/ETid-977"/>
    <hyperlink ref="S282" r:id="rId278" display="https://www.enforcementtracker.com/ETid-134"/>
    <hyperlink ref="S283" r:id="rId279" display="https://www.enforcementtracker.com/ETid-2379"/>
    <hyperlink ref="S284" r:id="rId280" display="https://www.enforcementtracker.com/ETid-819"/>
    <hyperlink ref="S285" r:id="rId281" display="https://www.enforcementtracker.com/ETid-223"/>
    <hyperlink ref="S286" r:id="rId282" display="https://www.enforcementtracker.com/ETid-2260"/>
    <hyperlink ref="S287" r:id="rId283" display="https://www.enforcementtracker.com/ETid-2705"/>
    <hyperlink ref="S288" r:id="rId284" display="https://www.enforcementtracker.com/ETid-3210"/>
    <hyperlink ref="S289" r:id="rId285" display="https://www.enforcementtracker.com/ETid-2175"/>
    <hyperlink ref="S290" r:id="rId286" display="https://www.enforcementtracker.com/ETid-130"/>
    <hyperlink ref="S291" r:id="rId287" display="https://www.enforcementtracker.com/ETid-754"/>
    <hyperlink ref="S292" r:id="rId288" display="https://www.enforcementtracker.com/ETid-2736"/>
    <hyperlink ref="S293" r:id="rId289" display="https://www.enforcementtracker.com/ETid-2472"/>
    <hyperlink ref="S294" r:id="rId290" display="https://www.enforcementtracker.com/ETid-2567"/>
    <hyperlink ref="S295" r:id="rId291" display="https://www.enforcementtracker.com/ETid-1506"/>
    <hyperlink ref="S296" r:id="rId292" display="https://www.enforcementtracker.com/ETid-451"/>
    <hyperlink ref="S297" r:id="rId293" display="https://www.enforcementtracker.com/ETid-1751"/>
    <hyperlink ref="S298" r:id="rId294" display="https://www.enforcementtracker.com/ETid-2138"/>
    <hyperlink ref="S299" r:id="rId295" display="https://www.enforcementtracker.com/ETid-241"/>
    <hyperlink ref="S300" r:id="rId296" display="https://www.enforcementtracker.com/ETid-1369"/>
    <hyperlink ref="S301" r:id="rId297" display="https://www.enforcementtracker.com/ETid-3141"/>
    <hyperlink ref="S302" r:id="rId298" display="https://www.enforcementtracker.com/ETid-2700"/>
    <hyperlink ref="S303" r:id="rId299" display="https://www.enforcementtracker.com/ETid-1132"/>
    <hyperlink ref="S304" r:id="rId300" display="https://www.enforcementtracker.com/ETid-1477"/>
    <hyperlink ref="S305" r:id="rId301" display="https://www.enforcementtracker.com/ETid-266"/>
    <hyperlink ref="S306" r:id="rId302" display="https://www.enforcementtracker.com/ETid-330"/>
    <hyperlink ref="S307" r:id="rId303" display="https://www.enforcementtracker.com/ETid-355"/>
    <hyperlink ref="S308" r:id="rId304" display="https://www.enforcementtracker.com/ETid-215"/>
    <hyperlink ref="S309" r:id="rId305" display="https://www.enforcementtracker.com/ETid-132"/>
    <hyperlink ref="S310" r:id="rId306" display="https://www.enforcementtracker.com/ETid-2455"/>
    <hyperlink ref="S311" r:id="rId307" display="https://www.enforcementtracker.com/ETid-898"/>
    <hyperlink ref="S312" r:id="rId308" display="https://www.enforcementtracker.com/ETid-312"/>
    <hyperlink ref="S313" r:id="rId309" display="https://www.enforcementtracker.com/ETid-301"/>
    <hyperlink ref="S314" r:id="rId310" display="https://www.enforcementtracker.com/ETid-544"/>
    <hyperlink ref="S315" r:id="rId311" display="https://www.enforcementtracker.com/ETid-584"/>
    <hyperlink ref="S316" r:id="rId312" display="https://www.enforcementtracker.com/ETid-1403"/>
    <hyperlink ref="S317" r:id="rId313" display="https://www.enforcementtracker.com/ETid-290"/>
    <hyperlink ref="S318" r:id="rId314" display="https://www.enforcementtracker.com/ETid-1478"/>
    <hyperlink ref="S319" r:id="rId315" display="https://www.enforcementtracker.com/ETid-1953"/>
    <hyperlink ref="S320" r:id="rId316" display="https://www.enforcementtracker.com/ETid-968"/>
    <hyperlink ref="S321" r:id="rId317" display="https://www.enforcementtracker.com/ETid-209"/>
    <hyperlink ref="S322" r:id="rId318" display="https://www.enforcementtracker.com/ETid-2323"/>
    <hyperlink ref="S323" r:id="rId319" display="https://www.enforcementtracker.com/ETid-140"/>
    <hyperlink ref="S324" r:id="rId320" display="https://www.enforcementtracker.com/ETid-2249"/>
    <hyperlink ref="S325" r:id="rId321" display="https://www.enforcementtracker.com/ETid-676"/>
    <hyperlink ref="S326" r:id="rId322" display="https://www.enforcementtracker.com/ETid-156"/>
    <hyperlink ref="S327" r:id="rId323" display="https://www.enforcementtracker.com/ETid-1085"/>
    <hyperlink ref="S328" r:id="rId324" display="https://www.enforcementtracker.com/ETid-496"/>
    <hyperlink ref="S329" r:id="rId325" display="https://www.enforcementtracker.com/ETid-741"/>
    <hyperlink ref="S330" r:id="rId326" display="https://www.enforcementtracker.com/ETid-303"/>
    <hyperlink ref="S331" r:id="rId327" display="https://www.enforcementtracker.com/ETid-407"/>
    <hyperlink ref="S332" r:id="rId328" display="https://www.enforcementtracker.com/ETid-346"/>
    <hyperlink ref="S333" r:id="rId329" display="https://www.enforcementtracker.com/ETid-825"/>
    <hyperlink ref="S335" r:id="rId330" display="https://www.enforcementtracker.com/ETid-705"/>
    <hyperlink ref="S336" r:id="rId331" display="https://www.enforcementtracker.com/ETid-203"/>
    <hyperlink ref="S337" r:id="rId332" display="https://www.enforcementtracker.com/ETid-2297"/>
    <hyperlink ref="S338" r:id="rId333" display="https://www.enforcementtracker.com/ETid-1685"/>
    <hyperlink ref="S339" r:id="rId334" display="https://www.enforcementtracker.com/ETid-1904"/>
    <hyperlink ref="S340" r:id="rId335" display="https://www.enforcementtracker.com/ETid-345"/>
    <hyperlink ref="S341" r:id="rId336" display="https://www.enforcementtracker.com/ETid-33"/>
    <hyperlink ref="S342" r:id="rId337" display="https://www.enforcementtracker.com/ETid-240"/>
    <hyperlink ref="S343" r:id="rId338" display="https://www.enforcementtracker.com/ETid-117"/>
    <hyperlink ref="S344" r:id="rId339" display="https://www.enforcementtracker.com/ETid-172"/>
    <hyperlink ref="S345" r:id="rId340" display="https://www.enforcementtracker.com/ETid-697"/>
    <hyperlink ref="S346" r:id="rId341" display="https://www.enforcementtracker.com/ETid-326"/>
    <hyperlink ref="S347" r:id="rId342" display="https://www.enforcementtracker.com/ETid-1377"/>
    <hyperlink ref="S348" r:id="rId343" display="https://www.enforcementtracker.com/ETid-6"/>
    <hyperlink ref="S349" r:id="rId344" display="https://www.enforcementtracker.com/ETid-8"/>
    <hyperlink ref="S350" r:id="rId345" display="https://www.enforcementtracker.com/ETid-1101"/>
    <hyperlink ref="S351" r:id="rId346" display="https://www.enforcementtracker.com/ETid-94"/>
    <hyperlink ref="S352" r:id="rId347" display="https://www.enforcementtracker.com/ETid-906"/>
    <hyperlink ref="S353" r:id="rId348" display="https://www.enforcementtracker.com/ETid-497"/>
    <hyperlink ref="S354" r:id="rId349" display="https://www.enforcementtracker.com/ETid-291"/>
    <hyperlink ref="S355" r:id="rId350" display="https://www.enforcementtracker.com/ETid-372"/>
    <hyperlink ref="S356" r:id="rId351" display="https://www.enforcementtracker.com/ETid-310"/>
    <hyperlink ref="S357" r:id="rId352" display="https://www.enforcementtracker.com/ETid-262"/>
    <hyperlink ref="S358" r:id="rId353" display="https://www.enforcementtracker.com/ETid-409"/>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54"/>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2026-09-26T17:15:27Z</dcterms:created>
  <dc:creator>openpyxl</dc:creator>
  <dc:description/>
  <dc:language>en-US</dc:language>
  <cp:lastModifiedBy/>
  <dcterms:modified xsi:type="dcterms:W3CDTF">2026-09-26T17:15:28Z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